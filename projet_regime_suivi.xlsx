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des taches" sheetId="1" state="visible" r:id="rId3"/>
    <sheet name="avancement projet" sheetId="2" state="visible" r:id="rId4"/>
    <sheet name="Rec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<sst xmlns="http://schemas.openxmlformats.org/spreadsheetml/2006/main" count="523" uniqueCount="152">
  <si>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</si>
  <si>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</si>
  <si>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</si>
  <si>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</si>
  <si>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</si>
  <si>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</si>
  <si>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 (h)</t>
  </si>
  <si>
    <t xml:space="preserve">Temps passé (h)</t>
  </si>
  <si>
    <t xml:space="preserve">Reste à faire (h)</t>
  </si>
  <si>
    <t xml:space="preserve">Avancement</t>
  </si>
  <si>
    <t xml:space="preserve">Qui</t>
  </si>
  <si>
    <t xml:space="preserve">Statut</t>
  </si>
  <si>
    <t xml:space="preserve">Auth · Profil · IMC</t>
  </si>
  <si>
    <t xml:space="preserve">F1 — Gestion des Rôles</t>
  </si>
  <si>
    <t xml:space="preserve">Middleware</t>
  </si>
  <si>
    <t xml:space="preserve">Middleware CodeIgniter vérifiant $_SESSION['role'] avant chaque contrôleur</t>
  </si>
  <si>
    <t xml:space="preserve">Backend</t>
  </si>
  <si>
    <t xml:space="preserve">Eddy</t>
  </si>
  <si>
    <t xml:space="preserve">✅ OK</t>
  </si>
  <si>
    <t xml:space="preserve">home.php</t>
  </si>
  <si>
    <t xml:space="preserve">Page d'accueil publique avec présentation et calcul IMC rapide (sans inscription)</t>
  </si>
  <si>
    <t xml:space="preserve">Frontend</t>
  </si>
  <si>
    <t xml:space="preserve">regimes_preview.php</t>
  </si>
  <si>
    <t xml:space="preserve">Aperçu régimes pour visiteur : nom, objectif, durée, prix — sans détail aliments</t>
  </si>
  <si>
    <t xml:space="preserve">sports_preview.php</t>
  </si>
  <si>
    <t xml:space="preserve">Aperçu activités sportives pour visiteur : nom, niveau, calories — sans programme</t>
  </si>
  <si>
    <t xml:space="preserve">AuthController.php</t>
  </si>
  <si>
    <t xml:space="preserve">Redirection automatique après login selon rôle (/dashboard ou /admin)</t>
  </si>
  <si>
    <t xml:space="preserve">F2 — Inscription</t>
  </si>
  <si>
    <t xml:space="preserve">register_step1.php</t>
  </si>
  <si>
    <t xml:space="preserve">Formulaire étape 1 : nom, email, genre, âge, mot de passe</t>
  </si>
  <si>
    <t xml:space="preserve">Validation AJAX email unique : POST /user/check_email → JSON {disponible}</t>
  </si>
  <si>
    <t xml:space="preserve">Validation mot de passe min 8 caractères avec confirmation en live</t>
  </si>
  <si>
    <t xml:space="preserve">Indicateur de progression visuel étape 1/2 + stockage temporaire session PHP</t>
  </si>
  <si>
    <t xml:space="preserve">register_step2.php</t>
  </si>
  <si>
    <t xml:space="preserve">Formulaire étape 2 : taille (m) et poids (kg)</t>
  </si>
  <si>
    <t xml:space="preserve">UserModel.php</t>
  </si>
  <si>
    <t xml:space="preserve">INSERT user + userBody à la validation (id_user, taille, poids, date=now)</t>
  </si>
  <si>
    <t xml:space="preserve">ImcHistoryModel.php</t>
  </si>
  <si>
    <t xml:space="preserve">Calcul IMC = poids ÷ taille² → INSERT imcHistory</t>
  </si>
  <si>
    <t xml:space="preserve">Création portefeuille vide : INSERT userPortefeuile (id_user, montant=0)</t>
  </si>
  <si>
    <t xml:space="preserve">F3 — Login / Logout</t>
  </si>
  <si>
    <t xml:space="preserve">Hash bcrypt à l'inscription (password_hash) + vérification (password_verify)</t>
  </si>
  <si>
    <t xml:space="preserve">Démarrer session : id_user, role, nom</t>
  </si>
  <si>
    <t xml:space="preserve">login.php</t>
  </si>
  <si>
    <t xml:space="preserve">Message d'erreur générique (ne pas révéler email ou mdp)</t>
  </si>
  <si>
    <t xml:space="preserve">Route logout : détruire session + redirection vers home.php</t>
  </si>
  <si>
    <t xml:space="preserve">F4 — Profil + IMC</t>
  </si>
  <si>
    <t xml:space="preserve">profil.php</t>
  </si>
  <si>
    <t xml:space="preserve">Récupérer dernier userBody (ORDER BY date DESC LIMIT 1) pour poids + taille</t>
  </si>
  <si>
    <t xml:space="preserve">Calculer IMC et afficher interprétation colorée (Maigre/Normal/Surpoids/Obésité)</t>
  </si>
  <si>
    <t xml:space="preserve">imcHistory ORDER BY date ASC → JSON pour graphique Chart.js</t>
  </si>
  <si>
    <t xml:space="preserve">Formulaire mise à jour poids → recalcul IMC → INSERT imcHistory + UPDATE userBody</t>
  </si>
  <si>
    <t xml:space="preserve">F5 — Choix d'objectif</t>
  </si>
  <si>
    <t xml:space="preserve">objectif.php</t>
  </si>
  <si>
    <t xml:space="preserve">Lire table objectif → afficher 3 cartes cliquables</t>
  </si>
  <si>
    <t xml:space="preserve">ObjectifController.php</t>
  </si>
  <si>
    <t xml:space="preserve">POST /objectif/choisir → UPDATE userBody SET id_objectif</t>
  </si>
  <si>
    <t xml:space="preserve">Redirection vers page régimes après confirmation</t>
  </si>
  <si>
    <t xml:space="preserve">Régimes · Sport · PDF</t>
  </si>
  <si>
    <t xml:space="preserve">F1 — Régimes personnalisés</t>
  </si>
  <si>
    <t xml:space="preserve">regimes.php</t>
  </si>
  <si>
    <t xml:space="preserve">Récupérer IMC actuel + id_objectif depuis session/imcHistory/userBody</t>
  </si>
  <si>
    <t xml:space="preserve">Tsinjo</t>
  </si>
  <si>
    <t xml:space="preserve">Filtrer régimes SQL : WHERE id_objectif=? AND imc_min&lt;=? AND imc_max&gt;=?</t>
  </si>
  <si>
    <t xml:space="preserve">Vérifier statut Gold → afficher prix Gold = prix * 0.85</t>
  </si>
  <si>
    <t xml:space="preserve">Afficher nom, durée, variation_poids, prix normal et prix Gold</t>
  </si>
  <si>
    <t xml:space="preserve">F1 — Achat régime</t>
  </si>
  <si>
    <t xml:space="preserve">ProgrammeRegimeController.php</t>
  </si>
  <si>
    <t xml:space="preserve">Vérifier solde : userPortefeuile.montant &gt;= prix_final</t>
  </si>
  <si>
    <t xml:space="preserve">Appliquer remise Gold : prix_paye = prix*0.85, est_gold_utilise=true</t>
  </si>
  <si>
    <t xml:space="preserve">ProgrammeRegimeModel.php</t>
  </si>
  <si>
    <t xml:space="preserve">INSERT userProgramme (id_user, dates, prix_paye, id_statusRegime=1)</t>
  </si>
  <si>
    <t xml:space="preserve">INSERT achatRegime + achatRegimeDetail</t>
  </si>
  <si>
    <t xml:space="preserve">INSERT MvntPortefeuile debit + UPDATE userPortefeuile solde</t>
  </si>
  <si>
    <t xml:space="preserve">F2 — Détail régime</t>
  </si>
  <si>
    <t xml:space="preserve">regime_detail.php</t>
  </si>
  <si>
    <t xml:space="preserve">JOIN programmeAliment + aliment + categorie WHERE id_programmeRegime ORDER BY type_repas</t>
  </si>
  <si>
    <t xml:space="preserve">Grouper résultats par type_repas en PHP (PETIT_DEJEUNER/DEJEUNER/DINER/COLLATION)</t>
  </si>
  <si>
    <t xml:space="preserve">Calculer calories réelles : (calories_pour_100g * quantite_g) / 100</t>
  </si>
  <si>
    <t xml:space="preserve">Afficher total nutritionnel journalier (calories, protéines, glucides, lipides)</t>
  </si>
  <si>
    <t xml:space="preserve">F3 — Activités sportives</t>
  </si>
  <si>
    <t xml:space="preserve">sport.php</t>
  </si>
  <si>
    <t xml:space="preserve">JOIN activiteSportive + sports WHERE id_objectif=?</t>
  </si>
  <si>
    <t xml:space="preserve">Filtre optionnel par niveau via AJAX GET /sport/filtrer?niveau=</t>
  </si>
  <si>
    <t xml:space="preserve">Bouton Démarrer → INSERT userSport (start_date=now, id_statusRegime=1)</t>
  </si>
  <si>
    <t xml:space="preserve">F4 — Export PDF</t>
  </si>
  <si>
    <t xml:space="preserve">PdfController.php</t>
  </si>
  <si>
    <t xml:space="preserve">GET /pdf/export → récupérer userProgramme actif (id_statusRegime=1 LIMIT 1)</t>
  </si>
  <si>
    <t xml:space="preserve">Récupérer composition du régime actif (même requête que F2)</t>
  </si>
  <si>
    <t xml:space="preserve">Récupérer userSport actif de l'user</t>
  </si>
  <si>
    <t xml:space="preserve">pdf_template.php</t>
  </si>
  <si>
    <t xml:space="preserve">Template HTML → $mpdf-&gt;WriteHTML() → Output('regime.pdf','D') via mPDF</t>
  </si>
  <si>
    <t xml:space="preserve">Wallet · Gold · Admin</t>
  </si>
  <si>
    <t xml:space="preserve">F1 — Portefeuille</t>
  </si>
  <si>
    <t xml:space="preserve">wallet.php</t>
  </si>
  <si>
    <t xml:space="preserve">Lire userPortefeuile WHERE id_user=session → afficher montant actuel</t>
  </si>
  <si>
    <t xml:space="preserve">Liantsoa</t>
  </si>
  <si>
    <t xml:space="preserve">Lire MvntPortefeuile ORDER BY date DESC → liste transactions</t>
  </si>
  <si>
    <t xml:space="preserve">Badge coloré : vert crédit, rouge débit</t>
  </si>
  <si>
    <t xml:space="preserve">F2 — Recharge par code</t>
  </si>
  <si>
    <t xml:space="preserve">WalletController.php</t>
  </si>
  <si>
    <t xml:space="preserve">POST AJAX /wallet/appliquer_code → vérifier Code (utilise=false, date&gt;=NOW)</t>
  </si>
  <si>
    <t xml:space="preserve">Si valide : UPDATE Code utilise=true + UPDATE userPortefeuile montant+</t>
  </si>
  <si>
    <t xml:space="preserve">INSERT MvntPortefeuile (type=credit, montant=code.montant)</t>
  </si>
  <si>
    <t xml:space="preserve">Retourner JSON {succes, message, nouveau_solde}</t>
  </si>
  <si>
    <t xml:space="preserve">F3 — Abonnement Gold</t>
  </si>
  <si>
    <t xml:space="preserve">gold.php</t>
  </si>
  <si>
    <t xml:space="preserve">Afficher prix Gold + avantages (remise 15%)</t>
  </si>
  <si>
    <t xml:space="preserve">POST /wallet/devenir_gold → vérifier solde &gt;= prixGold</t>
  </si>
  <si>
    <t xml:space="preserve">INSERT userGold + UPDATE userPortefeuile - prixGold + INSERT MvntPortefeuile debit</t>
  </si>
  <si>
    <t xml:space="preserve">Afficher badge Gold dans profil et navbar</t>
  </si>
  <si>
    <t xml:space="preserve">F4 — Dashboard Admin</t>
  </si>
  <si>
    <t xml:space="preserve">admin/dashboard.php</t>
  </si>
  <si>
    <t xml:space="preserve">Nb utilisateurs par rôle : SELECT role, COUNT(*) GROUP BY role</t>
  </si>
  <si>
    <t xml:space="preserve">Ventes par régime : JOIN achatRegimeDetail + programmeRegime</t>
  </si>
  <si>
    <t xml:space="preserve">Revenus totaux : SELECT SUM(prix_total) FROM achatRegime</t>
  </si>
  <si>
    <t xml:space="preserve">Nombre abonnés Gold : SELECT COUNT(*) FROM userGold</t>
  </si>
  <si>
    <t xml:space="preserve">Graphique mensuel inscriptions et achats (Chart.js)</t>
  </si>
  <si>
    <t xml:space="preserve">F4 — CRUD Régimes</t>
  </si>
  <si>
    <t xml:space="preserve">admin/regimes.php</t>
  </si>
  <si>
    <t xml:space="preserve">CRUD programmeRegime : nom, objectif, imc_min/max, durée, prix, variation_poids</t>
  </si>
  <si>
    <t xml:space="preserve">CRUD composition : ajouter/modifier/supprimer aliments dans programmeAliment</t>
  </si>
  <si>
    <t xml:space="preserve">CRUD aliment : nom, categorie, calories_pour_100g, proteines, glucides, lipides</t>
  </si>
  <si>
    <t xml:space="preserve">CRUD categorie</t>
  </si>
  <si>
    <t xml:space="preserve">F4 — CRUD Sports</t>
  </si>
  <si>
    <t xml:space="preserve">admin/sports.php</t>
  </si>
  <si>
    <t xml:space="preserve">CRUD sports : nom, catégorie</t>
  </si>
  <si>
    <t xml:space="preserve">CRUD activiteSportive : id_sport, objectif, niveau, calories, durée</t>
  </si>
  <si>
    <t xml:space="preserve">F4 — Codes prépayés</t>
  </si>
  <si>
    <t xml:space="preserve">admin/codes.php</t>
  </si>
  <si>
    <t xml:space="preserve">Générer nouveau code : string unique, montant, date_expiration</t>
  </si>
  <si>
    <t xml:space="preserve">Lister tous les codes avec statut : utilisé / non utilisé / expiré</t>
  </si>
  <si>
    <t xml:space="preserve">Désactiver un code manuellement</t>
  </si>
  <si>
    <t xml:space="preserve">📊 Avancement Global du Projet</t>
  </si>
  <si>
    <t xml:space="preserve">Indicateur</t>
  </si>
  <si>
    <t xml:space="preserve">Valeur</t>
  </si>
  <si>
    <t xml:space="preserve">Formule source</t>
  </si>
  <si>
    <t xml:space="preserve">Estimation totale (h)</t>
  </si>
  <si>
    <t xml:space="preserve">SUM col G</t>
  </si>
  <si>
    <t xml:space="preserve">Temps passé total (h)</t>
  </si>
  <si>
    <t xml:space="preserve">SUM col H</t>
  </si>
  <si>
    <t xml:space="preserve">Reste à faire total (h)</t>
  </si>
  <si>
    <t xml:space="preserve">SUM col I</t>
  </si>
  <si>
    <t xml:space="preserve">Temps passé / (Temps passé + Reste)</t>
  </si>
  <si>
    <t xml:space="preserve">Dépassement</t>
  </si>
  <si>
    <t xml:space="preserve">(Passé + Reste - Estimation) / Estimation</t>
  </si>
  <si>
    <t xml:space="preserve">Tableau 1 — Avancement Global</t>
  </si>
  <si>
    <t xml:space="preserve">Tableau 2 — Récap par Responsable</t>
  </si>
  <si>
    <t xml:space="preserve">Somme Estimation (h)</t>
  </si>
  <si>
    <t xml:space="preserve">Somme Temps passé (h)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</si>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</sst>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color rgb="FF1A5276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A04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D6E4F0"/>
        <bgColor rgb="FFD4EDDA"/>
      </patternFill>
    </fill>
    <fill>
      <patternFill patternType="solid">
        <fgColor rgb="FFE8F4FD"/>
        <bgColor rgb="FFEBF5FB"/>
      </patternFill>
    </fill>
    <fill>
      <patternFill patternType="solid">
        <fgColor rgb="FFD4EDDA"/>
        <bgColor rgb="FFD5F5E3"/>
      </patternFill>
    </fill>
    <fill>
      <patternFill patternType="solid">
        <fgColor rgb="FFEBF5FB"/>
        <bgColor rgb="FFE8F4FD"/>
      </patternFill>
    </fill>
    <fill>
      <patternFill patternType="solid">
        <fgColor rgb="FFFEF9E7"/>
        <bgColor rgb="FFFDFEFE"/>
      </patternFill>
    </fill>
    <fill>
      <patternFill patternType="solid">
        <fgColor rgb="FFD5F5E3"/>
        <bgColor rgb="FFD4EDDA"/>
      </patternFill>
    </fill>
    <fill>
      <patternFill patternType="solid">
        <fgColor rgb="FFE9F7EF"/>
        <bgColor rgb="FFEBF5FB"/>
      </patternFill>
    </fill>
    <fill>
      <patternFill patternType="solid">
        <fgColor rgb="FFFDEBD0"/>
        <bgColor rgb="FFFEF9E7"/>
      </patternFill>
    </fill>
    <fill>
      <patternFill patternType="solid">
        <fgColor rgb="FF2C3E50"/>
        <bgColor rgb="FF1E3A5F"/>
      </patternFill>
    </fill>
    <fill>
      <patternFill patternType="solid">
        <fgColor rgb="FFFFFFFF"/>
        <bgColor rgb="FFFDFEFE"/>
      </patternFill>
    </fill>
    <fill>
      <patternFill patternType="solid">
        <fgColor rgb="FFFDFEF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DC3C7"/>
      <rgbColor rgb="FF7F8C8D"/>
      <rgbColor rgb="FF9999FF"/>
      <rgbColor rgb="FF993366"/>
      <rgbColor rgb="FFFEF9E7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EBD0"/>
      <rgbColor rgb="FFEBF5FB"/>
      <rgbColor rgb="FFFDFEFE"/>
      <rgbColor rgb="FFCC99FF"/>
      <rgbColor rgb="FFD4ED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1E8449"/>
      <rgbColor rgb="FF155724"/>
      <rgbColor rgb="FF1A1A1A"/>
      <rgbColor rgb="FFA04000"/>
      <rgbColor rgb="FF993366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6" hidden="false" customHeight="true" outlineLevel="0" collapsed="false">
      <c r="A2" s="2" t="n">
        <v>1</v>
      </c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6" t="n">
        <v>3</v>
      </c>
      <c r="H2" s="6" t="n">
        <v>3</v>
      </c>
      <c r="I2" s="7" t="n">
        <f aca="false">G2-H2</f>
        <v>0</v>
      </c>
      <c r="J2" s="8" t="n">
        <f aca="false">IF((H2+I2)=0,0,H2/(H2+I2))</f>
        <v>1</v>
      </c>
      <c r="K2" s="2" t="s">
        <v>17</v>
      </c>
      <c r="L2" s="9" t="s">
        <v>18</v>
      </c>
    </row>
    <row r="3" customFormat="false" ht="36" hidden="false" customHeight="true" outlineLevel="0" collapsed="false">
      <c r="A3" s="10" t="n">
        <v>2</v>
      </c>
      <c r="B3" s="11" t="s">
        <v>12</v>
      </c>
      <c r="C3" s="12" t="s">
        <v>13</v>
      </c>
      <c r="D3" s="12" t="s">
        <v>19</v>
      </c>
      <c r="E3" s="12" t="s">
        <v>20</v>
      </c>
      <c r="F3" s="13" t="s">
        <v>21</v>
      </c>
      <c r="G3" s="14" t="n">
        <v>4</v>
      </c>
      <c r="H3" s="14" t="n">
        <v>4</v>
      </c>
      <c r="I3" s="15" t="n">
        <f aca="false">G3-H3</f>
        <v>0</v>
      </c>
      <c r="J3" s="8" t="n">
        <f aca="false">IF((H3+I3)=0,0,H3/(H3+I3))</f>
        <v>1</v>
      </c>
      <c r="K3" s="10" t="s">
        <v>17</v>
      </c>
      <c r="L3" s="9" t="s">
        <v>18</v>
      </c>
    </row>
    <row r="4" customFormat="false" ht="36" hidden="false" customHeight="true" outlineLevel="0" collapsed="false">
      <c r="A4" s="2" t="n">
        <v>3</v>
      </c>
      <c r="B4" s="3" t="s">
        <v>12</v>
      </c>
      <c r="C4" s="4" t="s">
        <v>13</v>
      </c>
      <c r="D4" s="4" t="s">
        <v>22</v>
      </c>
      <c r="E4" s="4" t="s">
        <v>23</v>
      </c>
      <c r="F4" s="13" t="s">
        <v>21</v>
      </c>
      <c r="G4" s="6" t="n">
        <v>3</v>
      </c>
      <c r="H4" s="6" t="n">
        <v>3</v>
      </c>
      <c r="I4" s="7" t="n">
        <f aca="false">G4-H4</f>
        <v>0</v>
      </c>
      <c r="J4" s="8" t="n">
        <f aca="false">IF((H4+I4)=0,0,H4/(H4+I4))</f>
        <v>1</v>
      </c>
      <c r="K4" s="2" t="s">
        <v>17</v>
      </c>
      <c r="L4" s="9" t="s">
        <v>18</v>
      </c>
    </row>
    <row r="5" customFormat="false" ht="36" hidden="false" customHeight="true" outlineLevel="0" collapsed="false">
      <c r="A5" s="10" t="n">
        <v>4</v>
      </c>
      <c r="B5" s="11" t="s">
        <v>12</v>
      </c>
      <c r="C5" s="12" t="s">
        <v>13</v>
      </c>
      <c r="D5" s="12" t="s">
        <v>24</v>
      </c>
      <c r="E5" s="12" t="s">
        <v>25</v>
      </c>
      <c r="F5" s="13" t="s">
        <v>21</v>
      </c>
      <c r="G5" s="14" t="n">
        <v>2</v>
      </c>
      <c r="H5" s="14" t="n">
        <v>2</v>
      </c>
      <c r="I5" s="15" t="n">
        <f aca="false">G5-H5</f>
        <v>0</v>
      </c>
      <c r="J5" s="8" t="n">
        <f aca="false">IF((H5+I5)=0,0,H5/(H5+I5))</f>
        <v>1</v>
      </c>
      <c r="K5" s="10" t="s">
        <v>17</v>
      </c>
      <c r="L5" s="9" t="s">
        <v>18</v>
      </c>
    </row>
    <row r="6" customFormat="false" ht="36" hidden="false" customHeight="true" outlineLevel="0" collapsed="false">
      <c r="A6" s="2" t="n">
        <v>5</v>
      </c>
      <c r="B6" s="3" t="s">
        <v>12</v>
      </c>
      <c r="C6" s="4" t="s">
        <v>13</v>
      </c>
      <c r="D6" s="4" t="s">
        <v>26</v>
      </c>
      <c r="E6" s="4" t="s">
        <v>27</v>
      </c>
      <c r="F6" s="5" t="s">
        <v>16</v>
      </c>
      <c r="G6" s="6" t="n">
        <v>2</v>
      </c>
      <c r="H6" s="6" t="n">
        <v>2</v>
      </c>
      <c r="I6" s="7" t="n">
        <f aca="false">G6-H6</f>
        <v>0</v>
      </c>
      <c r="J6" s="8" t="n">
        <f aca="false">IF((H6+I6)=0,0,H6/(H6+I6))</f>
        <v>1</v>
      </c>
      <c r="K6" s="2" t="s">
        <v>17</v>
      </c>
      <c r="L6" s="9" t="s">
        <v>18</v>
      </c>
    </row>
    <row r="7" customFormat="false" ht="36" hidden="false" customHeight="true" outlineLevel="0" collapsed="false">
      <c r="A7" s="10" t="n">
        <v>6</v>
      </c>
      <c r="B7" s="11" t="s">
        <v>12</v>
      </c>
      <c r="C7" s="12" t="s">
        <v>28</v>
      </c>
      <c r="D7" s="12" t="s">
        <v>29</v>
      </c>
      <c r="E7" s="12" t="s">
        <v>30</v>
      </c>
      <c r="F7" s="13" t="s">
        <v>21</v>
      </c>
      <c r="G7" s="14" t="n">
        <v>3</v>
      </c>
      <c r="H7" s="14" t="n">
        <v>3</v>
      </c>
      <c r="I7" s="15" t="n">
        <f aca="false">G7-H7</f>
        <v>0</v>
      </c>
      <c r="J7" s="8" t="n">
        <f aca="false">IF((H7+I7)=0,0,H7/(H7+I7))</f>
        <v>1</v>
      </c>
      <c r="K7" s="10" t="s">
        <v>17</v>
      </c>
      <c r="L7" s="9" t="s">
        <v>18</v>
      </c>
    </row>
    <row r="8" customFormat="false" ht="36" hidden="false" customHeight="true" outlineLevel="0" collapsed="false">
      <c r="A8" s="2" t="n">
        <v>7</v>
      </c>
      <c r="B8" s="3" t="s">
        <v>12</v>
      </c>
      <c r="C8" s="4" t="s">
        <v>28</v>
      </c>
      <c r="D8" s="4" t="s">
        <v>29</v>
      </c>
      <c r="E8" s="4" t="s">
        <v>31</v>
      </c>
      <c r="F8" s="5" t="s">
        <v>16</v>
      </c>
      <c r="G8" s="6" t="n">
        <v>2</v>
      </c>
      <c r="H8" s="6" t="n">
        <v>2</v>
      </c>
      <c r="I8" s="7" t="n">
        <f aca="false">G8-H8</f>
        <v>0</v>
      </c>
      <c r="J8" s="8" t="n">
        <f aca="false">IF((H8+I8)=0,0,H8/(H8+I8))</f>
        <v>1</v>
      </c>
      <c r="K8" s="2" t="s">
        <v>17</v>
      </c>
      <c r="L8" s="9" t="s">
        <v>18</v>
      </c>
    </row>
    <row r="9" customFormat="false" ht="36" hidden="false" customHeight="true" outlineLevel="0" collapsed="false">
      <c r="A9" s="10" t="n">
        <v>8</v>
      </c>
      <c r="B9" s="11" t="s">
        <v>12</v>
      </c>
      <c r="C9" s="12" t="s">
        <v>28</v>
      </c>
      <c r="D9" s="12" t="s">
        <v>29</v>
      </c>
      <c r="E9" s="12" t="s">
        <v>32</v>
      </c>
      <c r="F9" s="13" t="s">
        <v>21</v>
      </c>
      <c r="G9" s="14" t="n">
        <v>2</v>
      </c>
      <c r="H9" s="14" t="n">
        <v>2</v>
      </c>
      <c r="I9" s="15" t="n">
        <f aca="false">G9-H9</f>
        <v>0</v>
      </c>
      <c r="J9" s="8" t="n">
        <f aca="false">IF((H9+I9)=0,0,H9/(H9+I9))</f>
        <v>1</v>
      </c>
      <c r="K9" s="10" t="s">
        <v>17</v>
      </c>
      <c r="L9" s="9" t="s">
        <v>18</v>
      </c>
    </row>
    <row r="10" customFormat="false" ht="36" hidden="false" customHeight="true" outlineLevel="0" collapsed="false">
      <c r="A10" s="2" t="n">
        <v>9</v>
      </c>
      <c r="B10" s="3" t="s">
        <v>12</v>
      </c>
      <c r="C10" s="4" t="s">
        <v>28</v>
      </c>
      <c r="D10" s="4" t="s">
        <v>29</v>
      </c>
      <c r="E10" s="4" t="s">
        <v>33</v>
      </c>
      <c r="F10" s="13" t="s">
        <v>21</v>
      </c>
      <c r="G10" s="6" t="n">
        <v>2</v>
      </c>
      <c r="H10" s="6" t="n">
        <v>2</v>
      </c>
      <c r="I10" s="7" t="n">
        <f aca="false">G10-H10</f>
        <v>0</v>
      </c>
      <c r="J10" s="8" t="n">
        <f aca="false">IF((H10+I10)=0,0,H10/(H10+I10))</f>
        <v>1</v>
      </c>
      <c r="K10" s="2" t="s">
        <v>17</v>
      </c>
      <c r="L10" s="9" t="s">
        <v>18</v>
      </c>
    </row>
    <row r="11" customFormat="false" ht="36" hidden="false" customHeight="true" outlineLevel="0" collapsed="false">
      <c r="A11" s="10" t="n">
        <v>10</v>
      </c>
      <c r="B11" s="11" t="s">
        <v>12</v>
      </c>
      <c r="C11" s="12" t="s">
        <v>28</v>
      </c>
      <c r="D11" s="12" t="s">
        <v>34</v>
      </c>
      <c r="E11" s="12" t="s">
        <v>35</v>
      </c>
      <c r="F11" s="13" t="s">
        <v>21</v>
      </c>
      <c r="G11" s="14" t="n">
        <v>2</v>
      </c>
      <c r="H11" s="14" t="n">
        <v>2</v>
      </c>
      <c r="I11" s="15" t="n">
        <f aca="false">G11-H11</f>
        <v>0</v>
      </c>
      <c r="J11" s="8" t="n">
        <f aca="false">IF((H11+I11)=0,0,H11/(H11+I11))</f>
        <v>1</v>
      </c>
      <c r="K11" s="10" t="s">
        <v>17</v>
      </c>
      <c r="L11" s="9" t="s">
        <v>18</v>
      </c>
    </row>
    <row r="12" customFormat="false" ht="36" hidden="false" customHeight="true" outlineLevel="0" collapsed="false">
      <c r="A12" s="2" t="n">
        <v>11</v>
      </c>
      <c r="B12" s="3" t="s">
        <v>12</v>
      </c>
      <c r="C12" s="4" t="s">
        <v>28</v>
      </c>
      <c r="D12" s="4" t="s">
        <v>36</v>
      </c>
      <c r="E12" s="4" t="s">
        <v>37</v>
      </c>
      <c r="F12" s="5" t="s">
        <v>16</v>
      </c>
      <c r="G12" s="6" t="n">
        <v>3</v>
      </c>
      <c r="H12" s="6" t="n">
        <v>3</v>
      </c>
      <c r="I12" s="7" t="n">
        <f aca="false">G12-H12</f>
        <v>0</v>
      </c>
      <c r="J12" s="8" t="n">
        <f aca="false">IF((H12+I12)=0,0,H12/(H12+I12))</f>
        <v>1</v>
      </c>
      <c r="K12" s="2" t="s">
        <v>17</v>
      </c>
      <c r="L12" s="9" t="s">
        <v>18</v>
      </c>
    </row>
    <row r="13" customFormat="false" ht="36" hidden="false" customHeight="true" outlineLevel="0" collapsed="false">
      <c r="A13" s="10" t="n">
        <v>12</v>
      </c>
      <c r="B13" s="11" t="s">
        <v>12</v>
      </c>
      <c r="C13" s="12" t="s">
        <v>28</v>
      </c>
      <c r="D13" s="12" t="s">
        <v>38</v>
      </c>
      <c r="E13" s="12" t="s">
        <v>39</v>
      </c>
      <c r="F13" s="5" t="s">
        <v>16</v>
      </c>
      <c r="G13" s="14" t="n">
        <v>2</v>
      </c>
      <c r="H13" s="14" t="n">
        <v>2</v>
      </c>
      <c r="I13" s="15" t="n">
        <f aca="false">G13-H13</f>
        <v>0</v>
      </c>
      <c r="J13" s="8" t="n">
        <f aca="false">IF((H13+I13)=0,0,H13/(H13+I13))</f>
        <v>1</v>
      </c>
      <c r="K13" s="10" t="s">
        <v>17</v>
      </c>
      <c r="L13" s="9" t="s">
        <v>18</v>
      </c>
    </row>
    <row r="14" customFormat="false" ht="36" hidden="false" customHeight="true" outlineLevel="0" collapsed="false">
      <c r="A14" s="2" t="n">
        <v>13</v>
      </c>
      <c r="B14" s="3" t="s">
        <v>12</v>
      </c>
      <c r="C14" s="4" t="s">
        <v>28</v>
      </c>
      <c r="D14" s="4" t="s">
        <v>36</v>
      </c>
      <c r="E14" s="4" t="s">
        <v>40</v>
      </c>
      <c r="F14" s="5" t="s">
        <v>16</v>
      </c>
      <c r="G14" s="6" t="n">
        <v>1</v>
      </c>
      <c r="H14" s="6" t="n">
        <v>1</v>
      </c>
      <c r="I14" s="7" t="n">
        <f aca="false">G14-H14</f>
        <v>0</v>
      </c>
      <c r="J14" s="8" t="n">
        <f aca="false">IF((H14+I14)=0,0,H14/(H14+I14))</f>
        <v>1</v>
      </c>
      <c r="K14" s="2" t="s">
        <v>17</v>
      </c>
      <c r="L14" s="9" t="s">
        <v>18</v>
      </c>
    </row>
    <row r="15" customFormat="false" ht="36" hidden="false" customHeight="true" outlineLevel="0" collapsed="false">
      <c r="A15" s="10" t="n">
        <v>14</v>
      </c>
      <c r="B15" s="11" t="s">
        <v>12</v>
      </c>
      <c r="C15" s="12" t="s">
        <v>41</v>
      </c>
      <c r="D15" s="12" t="s">
        <v>26</v>
      </c>
      <c r="E15" s="12" t="s">
        <v>42</v>
      </c>
      <c r="F15" s="5" t="s">
        <v>16</v>
      </c>
      <c r="G15" s="14" t="n">
        <v>2</v>
      </c>
      <c r="H15" s="14" t="n">
        <v>2</v>
      </c>
      <c r="I15" s="15" t="n">
        <f aca="false">G15-H15</f>
        <v>0</v>
      </c>
      <c r="J15" s="8" t="n">
        <f aca="false">IF((H15+I15)=0,0,H15/(H15+I15))</f>
        <v>1</v>
      </c>
      <c r="K15" s="10" t="s">
        <v>17</v>
      </c>
      <c r="L15" s="9" t="s">
        <v>18</v>
      </c>
    </row>
    <row r="16" customFormat="false" ht="36" hidden="false" customHeight="true" outlineLevel="0" collapsed="false">
      <c r="A16" s="2" t="n">
        <v>15</v>
      </c>
      <c r="B16" s="3" t="s">
        <v>12</v>
      </c>
      <c r="C16" s="4" t="s">
        <v>41</v>
      </c>
      <c r="D16" s="4" t="s">
        <v>26</v>
      </c>
      <c r="E16" s="4" t="s">
        <v>43</v>
      </c>
      <c r="F16" s="5" t="s">
        <v>16</v>
      </c>
      <c r="G16" s="6" t="n">
        <v>1</v>
      </c>
      <c r="H16" s="6" t="n">
        <v>1</v>
      </c>
      <c r="I16" s="7" t="n">
        <f aca="false">G16-H16</f>
        <v>0</v>
      </c>
      <c r="J16" s="8" t="n">
        <f aca="false">IF((H16+I16)=0,0,H16/(H16+I16))</f>
        <v>1</v>
      </c>
      <c r="K16" s="2" t="s">
        <v>17</v>
      </c>
      <c r="L16" s="9" t="s">
        <v>18</v>
      </c>
    </row>
    <row r="17" customFormat="false" ht="36" hidden="false" customHeight="true" outlineLevel="0" collapsed="false">
      <c r="A17" s="10" t="n">
        <v>16</v>
      </c>
      <c r="B17" s="11" t="s">
        <v>12</v>
      </c>
      <c r="C17" s="12" t="s">
        <v>41</v>
      </c>
      <c r="D17" s="12" t="s">
        <v>44</v>
      </c>
      <c r="E17" s="12" t="s">
        <v>45</v>
      </c>
      <c r="F17" s="13" t="s">
        <v>21</v>
      </c>
      <c r="G17" s="14" t="n">
        <v>1</v>
      </c>
      <c r="H17" s="14" t="n">
        <v>1</v>
      </c>
      <c r="I17" s="15" t="n">
        <f aca="false">G17-H17</f>
        <v>0</v>
      </c>
      <c r="J17" s="8" t="n">
        <f aca="false">IF((H17+I17)=0,0,H17/(H17+I17))</f>
        <v>1</v>
      </c>
      <c r="K17" s="10" t="s">
        <v>17</v>
      </c>
      <c r="L17" s="9" t="s">
        <v>18</v>
      </c>
    </row>
    <row r="18" customFormat="false" ht="36" hidden="false" customHeight="true" outlineLevel="0" collapsed="false">
      <c r="A18" s="2" t="n">
        <v>17</v>
      </c>
      <c r="B18" s="3" t="s">
        <v>12</v>
      </c>
      <c r="C18" s="4" t="s">
        <v>41</v>
      </c>
      <c r="D18" s="4" t="s">
        <v>26</v>
      </c>
      <c r="E18" s="4" t="s">
        <v>46</v>
      </c>
      <c r="F18" s="5" t="s">
        <v>16</v>
      </c>
      <c r="G18" s="6" t="n">
        <v>1</v>
      </c>
      <c r="H18" s="6" t="n">
        <v>1</v>
      </c>
      <c r="I18" s="7" t="n">
        <f aca="false">G18-H18</f>
        <v>0</v>
      </c>
      <c r="J18" s="8" t="n">
        <f aca="false">IF((H18+I18)=0,0,H18/(H18+I18))</f>
        <v>1</v>
      </c>
      <c r="K18" s="2" t="s">
        <v>17</v>
      </c>
      <c r="L18" s="9" t="s">
        <v>18</v>
      </c>
    </row>
    <row r="19" customFormat="false" ht="36" hidden="false" customHeight="true" outlineLevel="0" collapsed="false">
      <c r="A19" s="10" t="n">
        <v>18</v>
      </c>
      <c r="B19" s="11" t="s">
        <v>12</v>
      </c>
      <c r="C19" s="12" t="s">
        <v>47</v>
      </c>
      <c r="D19" s="12" t="s">
        <v>48</v>
      </c>
      <c r="E19" s="12" t="s">
        <v>49</v>
      </c>
      <c r="F19" s="5" t="s">
        <v>16</v>
      </c>
      <c r="G19" s="14" t="n">
        <v>2</v>
      </c>
      <c r="H19" s="14" t="n">
        <v>2</v>
      </c>
      <c r="I19" s="15" t="n">
        <f aca="false">G19-H19</f>
        <v>0</v>
      </c>
      <c r="J19" s="8" t="n">
        <f aca="false">IF((H19+I19)=0,0,H19/(H19+I19))</f>
        <v>1</v>
      </c>
      <c r="K19" s="10" t="s">
        <v>17</v>
      </c>
      <c r="L19" s="9" t="s">
        <v>18</v>
      </c>
    </row>
    <row r="20" customFormat="false" ht="36" hidden="false" customHeight="true" outlineLevel="0" collapsed="false">
      <c r="A20" s="2" t="n">
        <v>19</v>
      </c>
      <c r="B20" s="3" t="s">
        <v>12</v>
      </c>
      <c r="C20" s="4" t="s">
        <v>47</v>
      </c>
      <c r="D20" s="4" t="s">
        <v>48</v>
      </c>
      <c r="E20" s="4" t="s">
        <v>50</v>
      </c>
      <c r="F20" s="13" t="s">
        <v>21</v>
      </c>
      <c r="G20" s="6" t="n">
        <v>3</v>
      </c>
      <c r="H20" s="6" t="n">
        <v>3</v>
      </c>
      <c r="I20" s="7" t="n">
        <f aca="false">G20-H20</f>
        <v>0</v>
      </c>
      <c r="J20" s="8" t="n">
        <f aca="false">IF((H20+I20)=0,0,H20/(H20+I20))</f>
        <v>1</v>
      </c>
      <c r="K20" s="2" t="s">
        <v>17</v>
      </c>
      <c r="L20" s="9" t="s">
        <v>18</v>
      </c>
    </row>
    <row r="21" customFormat="false" ht="36" hidden="false" customHeight="true" outlineLevel="0" collapsed="false">
      <c r="A21" s="10" t="n">
        <v>20</v>
      </c>
      <c r="B21" s="11" t="s">
        <v>12</v>
      </c>
      <c r="C21" s="12" t="s">
        <v>47</v>
      </c>
      <c r="D21" s="12" t="s">
        <v>48</v>
      </c>
      <c r="E21" s="12" t="s">
        <v>51</v>
      </c>
      <c r="F21" s="5" t="s">
        <v>16</v>
      </c>
      <c r="G21" s="14" t="n">
        <v>3</v>
      </c>
      <c r="H21" s="14" t="n">
        <v>3</v>
      </c>
      <c r="I21" s="15" t="n">
        <f aca="false">G21-H21</f>
        <v>0</v>
      </c>
      <c r="J21" s="8" t="n">
        <f aca="false">IF((H21+I21)=0,0,H21/(H21+I21))</f>
        <v>1</v>
      </c>
      <c r="K21" s="10" t="s">
        <v>17</v>
      </c>
      <c r="L21" s="9" t="s">
        <v>18</v>
      </c>
    </row>
    <row r="22" customFormat="false" ht="36" hidden="false" customHeight="true" outlineLevel="0" collapsed="false">
      <c r="A22" s="2" t="n">
        <v>21</v>
      </c>
      <c r="B22" s="3" t="s">
        <v>12</v>
      </c>
      <c r="C22" s="4" t="s">
        <v>47</v>
      </c>
      <c r="D22" s="4" t="s">
        <v>48</v>
      </c>
      <c r="E22" s="4" t="s">
        <v>52</v>
      </c>
      <c r="F22" s="5" t="s">
        <v>16</v>
      </c>
      <c r="G22" s="6" t="n">
        <v>2</v>
      </c>
      <c r="H22" s="6" t="n">
        <v>2</v>
      </c>
      <c r="I22" s="7" t="n">
        <f aca="false">G22-H22</f>
        <v>0</v>
      </c>
      <c r="J22" s="8" t="n">
        <f aca="false">IF((H22+I22)=0,0,H22/(H22+I22))</f>
        <v>1</v>
      </c>
      <c r="K22" s="2" t="s">
        <v>17</v>
      </c>
      <c r="L22" s="9" t="s">
        <v>18</v>
      </c>
    </row>
    <row r="23" customFormat="false" ht="36" hidden="false" customHeight="true" outlineLevel="0" collapsed="false">
      <c r="A23" s="10" t="n">
        <v>22</v>
      </c>
      <c r="B23" s="11" t="s">
        <v>12</v>
      </c>
      <c r="C23" s="12" t="s">
        <v>53</v>
      </c>
      <c r="D23" s="12" t="s">
        <v>54</v>
      </c>
      <c r="E23" s="12" t="s">
        <v>55</v>
      </c>
      <c r="F23" s="13" t="s">
        <v>21</v>
      </c>
      <c r="G23" s="14" t="n">
        <v>3</v>
      </c>
      <c r="H23" s="14" t="n">
        <v>3</v>
      </c>
      <c r="I23" s="15" t="n">
        <f aca="false">G23-H23</f>
        <v>0</v>
      </c>
      <c r="J23" s="8" t="n">
        <f aca="false">IF((H23+I23)=0,0,H23/(H23+I23))</f>
        <v>1</v>
      </c>
      <c r="K23" s="10" t="s">
        <v>17</v>
      </c>
      <c r="L23" s="9" t="s">
        <v>18</v>
      </c>
    </row>
    <row r="24" customFormat="false" ht="36" hidden="false" customHeight="true" outlineLevel="0" collapsed="false">
      <c r="A24" s="2" t="n">
        <v>23</v>
      </c>
      <c r="B24" s="3" t="s">
        <v>12</v>
      </c>
      <c r="C24" s="4" t="s">
        <v>53</v>
      </c>
      <c r="D24" s="4" t="s">
        <v>56</v>
      </c>
      <c r="E24" s="4" t="s">
        <v>57</v>
      </c>
      <c r="F24" s="5" t="s">
        <v>16</v>
      </c>
      <c r="G24" s="6" t="n">
        <v>2</v>
      </c>
      <c r="H24" s="6" t="n">
        <v>2</v>
      </c>
      <c r="I24" s="7" t="n">
        <f aca="false">G24-H24</f>
        <v>0</v>
      </c>
      <c r="J24" s="8" t="n">
        <f aca="false">IF((H24+I24)=0,0,H24/(H24+I24))</f>
        <v>1</v>
      </c>
      <c r="K24" s="2" t="s">
        <v>17</v>
      </c>
      <c r="L24" s="9" t="s">
        <v>18</v>
      </c>
    </row>
    <row r="25" customFormat="false" ht="36" hidden="false" customHeight="true" outlineLevel="0" collapsed="false">
      <c r="A25" s="10" t="n">
        <v>24</v>
      </c>
      <c r="B25" s="11" t="s">
        <v>12</v>
      </c>
      <c r="C25" s="12" t="s">
        <v>53</v>
      </c>
      <c r="D25" s="12" t="s">
        <v>56</v>
      </c>
      <c r="E25" s="12" t="s">
        <v>58</v>
      </c>
      <c r="F25" s="5" t="s">
        <v>16</v>
      </c>
      <c r="G25" s="14" t="n">
        <v>1</v>
      </c>
      <c r="H25" s="14" t="n">
        <v>1</v>
      </c>
      <c r="I25" s="15" t="n">
        <f aca="false">G25-H25</f>
        <v>0</v>
      </c>
      <c r="J25" s="8" t="n">
        <f aca="false">IF((H25+I25)=0,0,H25/(H25+I25))</f>
        <v>1</v>
      </c>
      <c r="K25" s="10" t="s">
        <v>17</v>
      </c>
      <c r="L25" s="9" t="s">
        <v>18</v>
      </c>
    </row>
    <row r="26" customFormat="false" ht="36" hidden="false" customHeight="true" outlineLevel="0" collapsed="false">
      <c r="A26" s="16" t="n">
        <v>25</v>
      </c>
      <c r="B26" s="17" t="s">
        <v>59</v>
      </c>
      <c r="C26" s="18" t="s">
        <v>60</v>
      </c>
      <c r="D26" s="18" t="s">
        <v>61</v>
      </c>
      <c r="E26" s="18" t="s">
        <v>62</v>
      </c>
      <c r="F26" s="5" t="s">
        <v>16</v>
      </c>
      <c r="G26" s="19" t="n">
        <v>2</v>
      </c>
      <c r="H26" s="19" t="n">
        <v>2</v>
      </c>
      <c r="I26" s="20" t="n">
        <f aca="false">G26-H26</f>
        <v>0</v>
      </c>
      <c r="J26" s="8" t="n">
        <f aca="false">IF((H26+I26)=0,0,H26/(H26+I26))</f>
        <v>1</v>
      </c>
      <c r="K26" s="16" t="s">
        <v>63</v>
      </c>
      <c r="L26" s="9" t="s">
        <v>18</v>
      </c>
    </row>
    <row r="27" customFormat="false" ht="36" hidden="false" customHeight="true" outlineLevel="0" collapsed="false">
      <c r="A27" s="21" t="n">
        <v>26</v>
      </c>
      <c r="B27" s="22" t="s">
        <v>59</v>
      </c>
      <c r="C27" s="23" t="s">
        <v>60</v>
      </c>
      <c r="D27" s="23" t="s">
        <v>61</v>
      </c>
      <c r="E27" s="23" t="s">
        <v>64</v>
      </c>
      <c r="F27" s="5" t="s">
        <v>16</v>
      </c>
      <c r="G27" s="24" t="n">
        <v>3</v>
      </c>
      <c r="H27" s="24" t="n">
        <v>3</v>
      </c>
      <c r="I27" s="25" t="n">
        <f aca="false">G27-H27</f>
        <v>0</v>
      </c>
      <c r="J27" s="8" t="n">
        <f aca="false">IF((H27+I27)=0,0,H27/(H27+I27))</f>
        <v>1</v>
      </c>
      <c r="K27" s="21" t="s">
        <v>63</v>
      </c>
      <c r="L27" s="9" t="s">
        <v>18</v>
      </c>
    </row>
    <row r="28" customFormat="false" ht="36" hidden="false" customHeight="true" outlineLevel="0" collapsed="false">
      <c r="A28" s="16" t="n">
        <v>27</v>
      </c>
      <c r="B28" s="17" t="s">
        <v>59</v>
      </c>
      <c r="C28" s="18" t="s">
        <v>60</v>
      </c>
      <c r="D28" s="18" t="s">
        <v>61</v>
      </c>
      <c r="E28" s="18" t="s">
        <v>65</v>
      </c>
      <c r="F28" s="5" t="s">
        <v>16</v>
      </c>
      <c r="G28" s="19" t="n">
        <v>2</v>
      </c>
      <c r="H28" s="19" t="n">
        <v>2</v>
      </c>
      <c r="I28" s="20" t="n">
        <f aca="false">G28-H28</f>
        <v>0</v>
      </c>
      <c r="J28" s="8" t="n">
        <f aca="false">IF((H28+I28)=0,0,H28/(H28+I28))</f>
        <v>1</v>
      </c>
      <c r="K28" s="16" t="s">
        <v>63</v>
      </c>
      <c r="L28" s="9" t="s">
        <v>18</v>
      </c>
    </row>
    <row r="29" customFormat="false" ht="36" hidden="false" customHeight="true" outlineLevel="0" collapsed="false">
      <c r="A29" s="21" t="n">
        <v>28</v>
      </c>
      <c r="B29" s="22" t="s">
        <v>59</v>
      </c>
      <c r="C29" s="23" t="s">
        <v>60</v>
      </c>
      <c r="D29" s="23" t="s">
        <v>61</v>
      </c>
      <c r="E29" s="23" t="s">
        <v>66</v>
      </c>
      <c r="F29" s="13" t="s">
        <v>21</v>
      </c>
      <c r="G29" s="24" t="n">
        <v>3</v>
      </c>
      <c r="H29" s="24" t="n">
        <v>3</v>
      </c>
      <c r="I29" s="25" t="n">
        <f aca="false">G29-H29</f>
        <v>0</v>
      </c>
      <c r="J29" s="8" t="n">
        <f aca="false">IF((H29+I29)=0,0,H29/(H29+I29))</f>
        <v>1</v>
      </c>
      <c r="K29" s="21" t="s">
        <v>63</v>
      </c>
      <c r="L29" s="9" t="s">
        <v>18</v>
      </c>
    </row>
    <row r="30" customFormat="false" ht="36" hidden="false" customHeight="true" outlineLevel="0" collapsed="false">
      <c r="A30" s="16" t="n">
        <v>29</v>
      </c>
      <c r="B30" s="17" t="s">
        <v>59</v>
      </c>
      <c r="C30" s="18" t="s">
        <v>67</v>
      </c>
      <c r="D30" s="18" t="s">
        <v>68</v>
      </c>
      <c r="E30" s="18" t="s">
        <v>69</v>
      </c>
      <c r="F30" s="5" t="s">
        <v>16</v>
      </c>
      <c r="G30" s="19" t="n">
        <v>2</v>
      </c>
      <c r="H30" s="19" t="n">
        <v>2</v>
      </c>
      <c r="I30" s="20" t="n">
        <f aca="false">G30-H30</f>
        <v>0</v>
      </c>
      <c r="J30" s="8" t="n">
        <f aca="false">IF((H30+I30)=0,0,H30/(H30+I30))</f>
        <v>1</v>
      </c>
      <c r="K30" s="16" t="s">
        <v>63</v>
      </c>
      <c r="L30" s="9" t="s">
        <v>18</v>
      </c>
    </row>
    <row r="31" customFormat="false" ht="36" hidden="false" customHeight="true" outlineLevel="0" collapsed="false">
      <c r="A31" s="21" t="n">
        <v>30</v>
      </c>
      <c r="B31" s="22" t="s">
        <v>59</v>
      </c>
      <c r="C31" s="23" t="s">
        <v>67</v>
      </c>
      <c r="D31" s="23" t="s">
        <v>68</v>
      </c>
      <c r="E31" s="23" t="s">
        <v>70</v>
      </c>
      <c r="F31" s="5" t="s">
        <v>16</v>
      </c>
      <c r="G31" s="24" t="n">
        <v>2</v>
      </c>
      <c r="H31" s="24" t="n">
        <v>2</v>
      </c>
      <c r="I31" s="25" t="n">
        <f aca="false">G31-H31</f>
        <v>0</v>
      </c>
      <c r="J31" s="8" t="n">
        <f aca="false">IF((H31+I31)=0,0,H31/(H31+I31))</f>
        <v>1</v>
      </c>
      <c r="K31" s="21" t="s">
        <v>63</v>
      </c>
      <c r="L31" s="9" t="s">
        <v>18</v>
      </c>
    </row>
    <row r="32" customFormat="false" ht="36" hidden="false" customHeight="true" outlineLevel="0" collapsed="false">
      <c r="A32" s="16" t="n">
        <v>31</v>
      </c>
      <c r="B32" s="17" t="s">
        <v>59</v>
      </c>
      <c r="C32" s="18" t="s">
        <v>67</v>
      </c>
      <c r="D32" s="18" t="s">
        <v>71</v>
      </c>
      <c r="E32" s="18" t="s">
        <v>72</v>
      </c>
      <c r="F32" s="5" t="s">
        <v>16</v>
      </c>
      <c r="G32" s="19" t="n">
        <v>2</v>
      </c>
      <c r="H32" s="19" t="n">
        <v>2</v>
      </c>
      <c r="I32" s="20" t="n">
        <f aca="false">G32-H32</f>
        <v>0</v>
      </c>
      <c r="J32" s="8" t="n">
        <f aca="false">IF((H32+I32)=0,0,H32/(H32+I32))</f>
        <v>1</v>
      </c>
      <c r="K32" s="16" t="s">
        <v>63</v>
      </c>
      <c r="L32" s="9" t="s">
        <v>18</v>
      </c>
    </row>
    <row r="33" customFormat="false" ht="36" hidden="false" customHeight="true" outlineLevel="0" collapsed="false">
      <c r="A33" s="21" t="n">
        <v>32</v>
      </c>
      <c r="B33" s="22" t="s">
        <v>59</v>
      </c>
      <c r="C33" s="23" t="s">
        <v>67</v>
      </c>
      <c r="D33" s="23" t="s">
        <v>71</v>
      </c>
      <c r="E33" s="23" t="s">
        <v>73</v>
      </c>
      <c r="F33" s="5" t="s">
        <v>16</v>
      </c>
      <c r="G33" s="24" t="n">
        <v>2</v>
      </c>
      <c r="H33" s="24" t="n">
        <v>2</v>
      </c>
      <c r="I33" s="25" t="n">
        <f aca="false">G33-H33</f>
        <v>0</v>
      </c>
      <c r="J33" s="8" t="n">
        <f aca="false">IF((H33+I33)=0,0,H33/(H33+I33))</f>
        <v>1</v>
      </c>
      <c r="K33" s="21" t="s">
        <v>63</v>
      </c>
      <c r="L33" s="9" t="s">
        <v>18</v>
      </c>
    </row>
    <row r="34" customFormat="false" ht="36" hidden="false" customHeight="true" outlineLevel="0" collapsed="false">
      <c r="A34" s="16" t="n">
        <v>33</v>
      </c>
      <c r="B34" s="17" t="s">
        <v>59</v>
      </c>
      <c r="C34" s="18" t="s">
        <v>67</v>
      </c>
      <c r="D34" s="18" t="s">
        <v>68</v>
      </c>
      <c r="E34" s="18" t="s">
        <v>74</v>
      </c>
      <c r="F34" s="5" t="s">
        <v>16</v>
      </c>
      <c r="G34" s="19" t="n">
        <v>2</v>
      </c>
      <c r="H34" s="19" t="n">
        <v>2</v>
      </c>
      <c r="I34" s="20" t="n">
        <f aca="false">G34-H34</f>
        <v>0</v>
      </c>
      <c r="J34" s="8" t="n">
        <f aca="false">IF((H34+I34)=0,0,H34/(H34+I34))</f>
        <v>1</v>
      </c>
      <c r="K34" s="16" t="s">
        <v>63</v>
      </c>
      <c r="L34" s="9" t="s">
        <v>18</v>
      </c>
    </row>
    <row r="35" customFormat="false" ht="36" hidden="false" customHeight="true" outlineLevel="0" collapsed="false">
      <c r="A35" s="21" t="n">
        <v>34</v>
      </c>
      <c r="B35" s="22" t="s">
        <v>59</v>
      </c>
      <c r="C35" s="23" t="s">
        <v>75</v>
      </c>
      <c r="D35" s="23" t="s">
        <v>76</v>
      </c>
      <c r="E35" s="23" t="s">
        <v>77</v>
      </c>
      <c r="F35" s="5" t="s">
        <v>16</v>
      </c>
      <c r="G35" s="24" t="n">
        <v>3</v>
      </c>
      <c r="H35" s="24" t="n">
        <v>3</v>
      </c>
      <c r="I35" s="25" t="n">
        <f aca="false">G35-H35</f>
        <v>0</v>
      </c>
      <c r="J35" s="8" t="n">
        <f aca="false">IF((H35+I35)=0,0,H35/(H35+I35))</f>
        <v>1</v>
      </c>
      <c r="K35" s="21" t="s">
        <v>63</v>
      </c>
      <c r="L35" s="9" t="s">
        <v>18</v>
      </c>
    </row>
    <row r="36" customFormat="false" ht="36" hidden="false" customHeight="true" outlineLevel="0" collapsed="false">
      <c r="A36" s="16" t="n">
        <v>35</v>
      </c>
      <c r="B36" s="17" t="s">
        <v>59</v>
      </c>
      <c r="C36" s="18" t="s">
        <v>75</v>
      </c>
      <c r="D36" s="18" t="s">
        <v>76</v>
      </c>
      <c r="E36" s="18" t="s">
        <v>78</v>
      </c>
      <c r="F36" s="5" t="s">
        <v>16</v>
      </c>
      <c r="G36" s="19" t="n">
        <v>2</v>
      </c>
      <c r="H36" s="19" t="n">
        <v>2</v>
      </c>
      <c r="I36" s="20" t="n">
        <f aca="false">G36-H36</f>
        <v>0</v>
      </c>
      <c r="J36" s="8" t="n">
        <f aca="false">IF((H36+I36)=0,0,H36/(H36+I36))</f>
        <v>1</v>
      </c>
      <c r="K36" s="16" t="s">
        <v>63</v>
      </c>
      <c r="L36" s="9" t="s">
        <v>18</v>
      </c>
    </row>
    <row r="37" customFormat="false" ht="36" hidden="false" customHeight="true" outlineLevel="0" collapsed="false">
      <c r="A37" s="21" t="n">
        <v>36</v>
      </c>
      <c r="B37" s="22" t="s">
        <v>59</v>
      </c>
      <c r="C37" s="23" t="s">
        <v>75</v>
      </c>
      <c r="D37" s="23" t="s">
        <v>76</v>
      </c>
      <c r="E37" s="23" t="s">
        <v>79</v>
      </c>
      <c r="F37" s="5" t="s">
        <v>16</v>
      </c>
      <c r="G37" s="24" t="n">
        <v>2</v>
      </c>
      <c r="H37" s="24" t="n">
        <v>2</v>
      </c>
      <c r="I37" s="25" t="n">
        <f aca="false">G37-H37</f>
        <v>0</v>
      </c>
      <c r="J37" s="8" t="n">
        <f aca="false">IF((H37+I37)=0,0,H37/(H37+I37))</f>
        <v>1</v>
      </c>
      <c r="K37" s="21" t="s">
        <v>63</v>
      </c>
      <c r="L37" s="9" t="s">
        <v>18</v>
      </c>
    </row>
    <row r="38" customFormat="false" ht="36" hidden="false" customHeight="true" outlineLevel="0" collapsed="false">
      <c r="A38" s="16" t="n">
        <v>37</v>
      </c>
      <c r="B38" s="17" t="s">
        <v>59</v>
      </c>
      <c r="C38" s="18" t="s">
        <v>75</v>
      </c>
      <c r="D38" s="18" t="s">
        <v>76</v>
      </c>
      <c r="E38" s="18" t="s">
        <v>80</v>
      </c>
      <c r="F38" s="13" t="s">
        <v>21</v>
      </c>
      <c r="G38" s="19" t="n">
        <v>2</v>
      </c>
      <c r="H38" s="19" t="n">
        <v>2</v>
      </c>
      <c r="I38" s="20" t="n">
        <f aca="false">G38-H38</f>
        <v>0</v>
      </c>
      <c r="J38" s="8" t="n">
        <f aca="false">IF((H38+I38)=0,0,H38/(H38+I38))</f>
        <v>1</v>
      </c>
      <c r="K38" s="16" t="s">
        <v>63</v>
      </c>
      <c r="L38" s="9" t="s">
        <v>18</v>
      </c>
    </row>
    <row r="39" customFormat="false" ht="36" hidden="false" customHeight="true" outlineLevel="0" collapsed="false">
      <c r="A39" s="21" t="n">
        <v>38</v>
      </c>
      <c r="B39" s="22" t="s">
        <v>59</v>
      </c>
      <c r="C39" s="23" t="s">
        <v>81</v>
      </c>
      <c r="D39" s="23" t="s">
        <v>82</v>
      </c>
      <c r="E39" s="23" t="s">
        <v>83</v>
      </c>
      <c r="F39" s="5" t="s">
        <v>16</v>
      </c>
      <c r="G39" s="24" t="n">
        <v>2</v>
      </c>
      <c r="H39" s="24" t="n">
        <v>2</v>
      </c>
      <c r="I39" s="25" t="n">
        <f aca="false">G39-H39</f>
        <v>0</v>
      </c>
      <c r="J39" s="8" t="n">
        <f aca="false">IF((H39+I39)=0,0,H39/(H39+I39))</f>
        <v>1</v>
      </c>
      <c r="K39" s="21" t="s">
        <v>63</v>
      </c>
      <c r="L39" s="9" t="s">
        <v>18</v>
      </c>
    </row>
    <row r="40" customFormat="false" ht="36" hidden="false" customHeight="true" outlineLevel="0" collapsed="false">
      <c r="A40" s="16" t="n">
        <v>39</v>
      </c>
      <c r="B40" s="17" t="s">
        <v>59</v>
      </c>
      <c r="C40" s="18" t="s">
        <v>81</v>
      </c>
      <c r="D40" s="18" t="s">
        <v>82</v>
      </c>
      <c r="E40" s="18" t="s">
        <v>84</v>
      </c>
      <c r="F40" s="5" t="s">
        <v>16</v>
      </c>
      <c r="G40" s="19" t="n">
        <v>3</v>
      </c>
      <c r="H40" s="19" t="n">
        <v>3</v>
      </c>
      <c r="I40" s="20" t="n">
        <f aca="false">G40-H40</f>
        <v>0</v>
      </c>
      <c r="J40" s="8" t="n">
        <f aca="false">IF((H40+I40)=0,0,H40/(H40+I40))</f>
        <v>1</v>
      </c>
      <c r="K40" s="16" t="s">
        <v>63</v>
      </c>
      <c r="L40" s="9" t="s">
        <v>18</v>
      </c>
    </row>
    <row r="41" customFormat="false" ht="36" hidden="false" customHeight="true" outlineLevel="0" collapsed="false">
      <c r="A41" s="21" t="n">
        <v>40</v>
      </c>
      <c r="B41" s="22" t="s">
        <v>59</v>
      </c>
      <c r="C41" s="23" t="s">
        <v>81</v>
      </c>
      <c r="D41" s="23" t="s">
        <v>82</v>
      </c>
      <c r="E41" s="23" t="s">
        <v>85</v>
      </c>
      <c r="F41" s="5" t="s">
        <v>16</v>
      </c>
      <c r="G41" s="24" t="n">
        <v>2</v>
      </c>
      <c r="H41" s="24" t="n">
        <v>2</v>
      </c>
      <c r="I41" s="25" t="n">
        <f aca="false">G41-H41</f>
        <v>0</v>
      </c>
      <c r="J41" s="8" t="n">
        <f aca="false">IF((H41+I41)=0,0,H41/(H41+I41))</f>
        <v>1</v>
      </c>
      <c r="K41" s="21" t="s">
        <v>63</v>
      </c>
      <c r="L41" s="9" t="s">
        <v>18</v>
      </c>
    </row>
    <row r="42" customFormat="false" ht="36" hidden="false" customHeight="true" outlineLevel="0" collapsed="false">
      <c r="A42" s="16" t="n">
        <v>41</v>
      </c>
      <c r="B42" s="17" t="s">
        <v>59</v>
      </c>
      <c r="C42" s="18" t="s">
        <v>86</v>
      </c>
      <c r="D42" s="18" t="s">
        <v>87</v>
      </c>
      <c r="E42" s="18" t="s">
        <v>88</v>
      </c>
      <c r="F42" s="5" t="s">
        <v>16</v>
      </c>
      <c r="G42" s="19" t="n">
        <v>2</v>
      </c>
      <c r="H42" s="19" t="n">
        <v>2</v>
      </c>
      <c r="I42" s="20" t="n">
        <f aca="false">G42-H42</f>
        <v>0</v>
      </c>
      <c r="J42" s="8" t="n">
        <f aca="false">IF((H42+I42)=0,0,H42/(H42+I42))</f>
        <v>1</v>
      </c>
      <c r="K42" s="16" t="s">
        <v>63</v>
      </c>
      <c r="L42" s="9" t="s">
        <v>18</v>
      </c>
    </row>
    <row r="43" customFormat="false" ht="36" hidden="false" customHeight="true" outlineLevel="0" collapsed="false">
      <c r="A43" s="21" t="n">
        <v>42</v>
      </c>
      <c r="B43" s="22" t="s">
        <v>59</v>
      </c>
      <c r="C43" s="23" t="s">
        <v>86</v>
      </c>
      <c r="D43" s="23" t="s">
        <v>87</v>
      </c>
      <c r="E43" s="23" t="s">
        <v>89</v>
      </c>
      <c r="F43" s="5" t="s">
        <v>16</v>
      </c>
      <c r="G43" s="24" t="n">
        <v>2</v>
      </c>
      <c r="H43" s="24" t="n">
        <v>2</v>
      </c>
      <c r="I43" s="25" t="n">
        <f aca="false">G43-H43</f>
        <v>0</v>
      </c>
      <c r="J43" s="8" t="n">
        <f aca="false">IF((H43+I43)=0,0,H43/(H43+I43))</f>
        <v>1</v>
      </c>
      <c r="K43" s="21" t="s">
        <v>63</v>
      </c>
      <c r="L43" s="9" t="s">
        <v>18</v>
      </c>
    </row>
    <row r="44" customFormat="false" ht="36" hidden="false" customHeight="true" outlineLevel="0" collapsed="false">
      <c r="A44" s="16" t="n">
        <v>43</v>
      </c>
      <c r="B44" s="17" t="s">
        <v>59</v>
      </c>
      <c r="C44" s="18" t="s">
        <v>86</v>
      </c>
      <c r="D44" s="18" t="s">
        <v>87</v>
      </c>
      <c r="E44" s="18" t="s">
        <v>90</v>
      </c>
      <c r="F44" s="5" t="s">
        <v>16</v>
      </c>
      <c r="G44" s="19" t="n">
        <v>1</v>
      </c>
      <c r="H44" s="19" t="n">
        <v>1</v>
      </c>
      <c r="I44" s="20" t="n">
        <f aca="false">G44-H44</f>
        <v>0</v>
      </c>
      <c r="J44" s="8" t="n">
        <f aca="false">IF((H44+I44)=0,0,H44/(H44+I44))</f>
        <v>1</v>
      </c>
      <c r="K44" s="16" t="s">
        <v>63</v>
      </c>
      <c r="L44" s="9" t="s">
        <v>18</v>
      </c>
    </row>
    <row r="45" customFormat="false" ht="36" hidden="false" customHeight="true" outlineLevel="0" collapsed="false">
      <c r="A45" s="21" t="n">
        <v>44</v>
      </c>
      <c r="B45" s="22" t="s">
        <v>59</v>
      </c>
      <c r="C45" s="23" t="s">
        <v>86</v>
      </c>
      <c r="D45" s="23" t="s">
        <v>91</v>
      </c>
      <c r="E45" s="23" t="s">
        <v>92</v>
      </c>
      <c r="F45" s="5" t="s">
        <v>16</v>
      </c>
      <c r="G45" s="24" t="n">
        <v>4</v>
      </c>
      <c r="H45" s="24" t="n">
        <v>4</v>
      </c>
      <c r="I45" s="25" t="n">
        <f aca="false">G45-H45</f>
        <v>0</v>
      </c>
      <c r="J45" s="8" t="n">
        <f aca="false">IF((H45+I45)=0,0,H45/(H45+I45))</f>
        <v>1</v>
      </c>
      <c r="K45" s="21" t="s">
        <v>63</v>
      </c>
      <c r="L45" s="9" t="s">
        <v>18</v>
      </c>
    </row>
    <row r="46" customFormat="false" ht="36" hidden="false" customHeight="true" outlineLevel="0" collapsed="false">
      <c r="A46" s="26" t="n">
        <v>45</v>
      </c>
      <c r="B46" s="27" t="s">
        <v>93</v>
      </c>
      <c r="C46" s="28" t="s">
        <v>94</v>
      </c>
      <c r="D46" s="28" t="s">
        <v>95</v>
      </c>
      <c r="E46" s="28" t="s">
        <v>96</v>
      </c>
      <c r="F46" s="5" t="s">
        <v>16</v>
      </c>
      <c r="G46" s="29" t="n">
        <v>2</v>
      </c>
      <c r="H46" s="29" t="n">
        <v>2</v>
      </c>
      <c r="I46" s="30" t="n">
        <f aca="false">G46-H46</f>
        <v>0</v>
      </c>
      <c r="J46" s="8" t="n">
        <f aca="false">IF((H46+I46)=0,0,H46/(H46+I46))</f>
        <v>1</v>
      </c>
      <c r="K46" s="26" t="s">
        <v>97</v>
      </c>
      <c r="L46" s="9" t="s">
        <v>18</v>
      </c>
    </row>
    <row r="47" customFormat="false" ht="36" hidden="false" customHeight="true" outlineLevel="0" collapsed="false">
      <c r="A47" s="31" t="n">
        <v>46</v>
      </c>
      <c r="B47" s="32" t="s">
        <v>93</v>
      </c>
      <c r="C47" s="33" t="s">
        <v>94</v>
      </c>
      <c r="D47" s="33" t="s">
        <v>95</v>
      </c>
      <c r="E47" s="33" t="s">
        <v>98</v>
      </c>
      <c r="F47" s="5" t="s">
        <v>16</v>
      </c>
      <c r="G47" s="34" t="n">
        <v>2</v>
      </c>
      <c r="H47" s="34" t="n">
        <v>2</v>
      </c>
      <c r="I47" s="35" t="n">
        <f aca="false">G47-H47</f>
        <v>0</v>
      </c>
      <c r="J47" s="8" t="n">
        <f aca="false">IF((H47+I47)=0,0,H47/(H47+I47))</f>
        <v>1</v>
      </c>
      <c r="K47" s="31" t="s">
        <v>97</v>
      </c>
      <c r="L47" s="9" t="s">
        <v>18</v>
      </c>
    </row>
    <row r="48" customFormat="false" ht="36" hidden="false" customHeight="true" outlineLevel="0" collapsed="false">
      <c r="A48" s="26" t="n">
        <v>47</v>
      </c>
      <c r="B48" s="27" t="s">
        <v>93</v>
      </c>
      <c r="C48" s="28" t="s">
        <v>94</v>
      </c>
      <c r="D48" s="28" t="s">
        <v>95</v>
      </c>
      <c r="E48" s="28" t="s">
        <v>99</v>
      </c>
      <c r="F48" s="13" t="s">
        <v>21</v>
      </c>
      <c r="G48" s="29" t="n">
        <v>1</v>
      </c>
      <c r="H48" s="29" t="n">
        <v>1</v>
      </c>
      <c r="I48" s="30" t="n">
        <f aca="false">G48-H48</f>
        <v>0</v>
      </c>
      <c r="J48" s="8" t="n">
        <f aca="false">IF((H48+I48)=0,0,H48/(H48+I48))</f>
        <v>1</v>
      </c>
      <c r="K48" s="26" t="s">
        <v>97</v>
      </c>
      <c r="L48" s="9" t="s">
        <v>18</v>
      </c>
    </row>
    <row r="49" customFormat="false" ht="36" hidden="false" customHeight="true" outlineLevel="0" collapsed="false">
      <c r="A49" s="31" t="n">
        <v>48</v>
      </c>
      <c r="B49" s="32" t="s">
        <v>93</v>
      </c>
      <c r="C49" s="33" t="s">
        <v>100</v>
      </c>
      <c r="D49" s="33" t="s">
        <v>101</v>
      </c>
      <c r="E49" s="33" t="s">
        <v>102</v>
      </c>
      <c r="F49" s="5" t="s">
        <v>16</v>
      </c>
      <c r="G49" s="34" t="n">
        <v>3</v>
      </c>
      <c r="H49" s="34" t="n">
        <v>3</v>
      </c>
      <c r="I49" s="35" t="n">
        <f aca="false">G49-H49</f>
        <v>0</v>
      </c>
      <c r="J49" s="8" t="n">
        <f aca="false">IF((H49+I49)=0,0,H49/(H49+I49))</f>
        <v>1</v>
      </c>
      <c r="K49" s="31" t="s">
        <v>97</v>
      </c>
      <c r="L49" s="9" t="s">
        <v>18</v>
      </c>
    </row>
    <row r="50" customFormat="false" ht="36" hidden="false" customHeight="true" outlineLevel="0" collapsed="false">
      <c r="A50" s="26" t="n">
        <v>49</v>
      </c>
      <c r="B50" s="27" t="s">
        <v>93</v>
      </c>
      <c r="C50" s="28" t="s">
        <v>100</v>
      </c>
      <c r="D50" s="28" t="s">
        <v>101</v>
      </c>
      <c r="E50" s="28" t="s">
        <v>103</v>
      </c>
      <c r="F50" s="5" t="s">
        <v>16</v>
      </c>
      <c r="G50" s="29" t="n">
        <v>2</v>
      </c>
      <c r="H50" s="29" t="n">
        <v>2</v>
      </c>
      <c r="I50" s="30" t="n">
        <f aca="false">G50-H50</f>
        <v>0</v>
      </c>
      <c r="J50" s="8" t="n">
        <f aca="false">IF((H50+I50)=0,0,H50/(H50+I50))</f>
        <v>1</v>
      </c>
      <c r="K50" s="26" t="s">
        <v>97</v>
      </c>
      <c r="L50" s="9" t="s">
        <v>18</v>
      </c>
    </row>
    <row r="51" customFormat="false" ht="36" hidden="false" customHeight="true" outlineLevel="0" collapsed="false">
      <c r="A51" s="31" t="n">
        <v>50</v>
      </c>
      <c r="B51" s="32" t="s">
        <v>93</v>
      </c>
      <c r="C51" s="33" t="s">
        <v>100</v>
      </c>
      <c r="D51" s="33" t="s">
        <v>101</v>
      </c>
      <c r="E51" s="33" t="s">
        <v>104</v>
      </c>
      <c r="F51" s="5" t="s">
        <v>16</v>
      </c>
      <c r="G51" s="34" t="n">
        <v>2</v>
      </c>
      <c r="H51" s="34" t="n">
        <v>2</v>
      </c>
      <c r="I51" s="35" t="n">
        <f aca="false">G51-H51</f>
        <v>0</v>
      </c>
      <c r="J51" s="8" t="n">
        <f aca="false">IF((H51+I51)=0,0,H51/(H51+I51))</f>
        <v>1</v>
      </c>
      <c r="K51" s="31" t="s">
        <v>97</v>
      </c>
      <c r="L51" s="9" t="s">
        <v>18</v>
      </c>
    </row>
    <row r="52" customFormat="false" ht="36" hidden="false" customHeight="true" outlineLevel="0" collapsed="false">
      <c r="A52" s="26" t="n">
        <v>51</v>
      </c>
      <c r="B52" s="27" t="s">
        <v>93</v>
      </c>
      <c r="C52" s="28" t="s">
        <v>100</v>
      </c>
      <c r="D52" s="28" t="s">
        <v>101</v>
      </c>
      <c r="E52" s="28" t="s">
        <v>105</v>
      </c>
      <c r="F52" s="5" t="s">
        <v>16</v>
      </c>
      <c r="G52" s="29" t="n">
        <v>1</v>
      </c>
      <c r="H52" s="29" t="n">
        <v>1</v>
      </c>
      <c r="I52" s="30" t="n">
        <f aca="false">G52-H52</f>
        <v>0</v>
      </c>
      <c r="J52" s="8" t="n">
        <f aca="false">IF((H52+I52)=0,0,H52/(H52+I52))</f>
        <v>1</v>
      </c>
      <c r="K52" s="26" t="s">
        <v>97</v>
      </c>
      <c r="L52" s="9" t="s">
        <v>18</v>
      </c>
    </row>
    <row r="53" customFormat="false" ht="36" hidden="false" customHeight="true" outlineLevel="0" collapsed="false">
      <c r="A53" s="31" t="n">
        <v>52</v>
      </c>
      <c r="B53" s="32" t="s">
        <v>93</v>
      </c>
      <c r="C53" s="33" t="s">
        <v>106</v>
      </c>
      <c r="D53" s="33" t="s">
        <v>107</v>
      </c>
      <c r="E53" s="33" t="s">
        <v>108</v>
      </c>
      <c r="F53" s="13" t="s">
        <v>21</v>
      </c>
      <c r="G53" s="34" t="n">
        <v>2</v>
      </c>
      <c r="H53" s="34" t="n">
        <v>2</v>
      </c>
      <c r="I53" s="35" t="n">
        <f aca="false">G53-H53</f>
        <v>0</v>
      </c>
      <c r="J53" s="8" t="n">
        <f aca="false">IF((H53+I53)=0,0,H53/(H53+I53))</f>
        <v>1</v>
      </c>
      <c r="K53" s="31" t="s">
        <v>97</v>
      </c>
      <c r="L53" s="9" t="s">
        <v>18</v>
      </c>
    </row>
    <row r="54" customFormat="false" ht="36" hidden="false" customHeight="true" outlineLevel="0" collapsed="false">
      <c r="A54" s="26" t="n">
        <v>53</v>
      </c>
      <c r="B54" s="27" t="s">
        <v>93</v>
      </c>
      <c r="C54" s="28" t="s">
        <v>106</v>
      </c>
      <c r="D54" s="28" t="s">
        <v>101</v>
      </c>
      <c r="E54" s="28" t="s">
        <v>109</v>
      </c>
      <c r="F54" s="5" t="s">
        <v>16</v>
      </c>
      <c r="G54" s="29" t="n">
        <v>2</v>
      </c>
      <c r="H54" s="29" t="n">
        <v>2</v>
      </c>
      <c r="I54" s="30" t="n">
        <f aca="false">G54-H54</f>
        <v>0</v>
      </c>
      <c r="J54" s="8" t="n">
        <f aca="false">IF((H54+I54)=0,0,H54/(H54+I54))</f>
        <v>1</v>
      </c>
      <c r="K54" s="26" t="s">
        <v>97</v>
      </c>
      <c r="L54" s="9" t="s">
        <v>18</v>
      </c>
    </row>
    <row r="55" customFormat="false" ht="36" hidden="false" customHeight="true" outlineLevel="0" collapsed="false">
      <c r="A55" s="31" t="n">
        <v>54</v>
      </c>
      <c r="B55" s="32" t="s">
        <v>93</v>
      </c>
      <c r="C55" s="33" t="s">
        <v>106</v>
      </c>
      <c r="D55" s="33" t="s">
        <v>101</v>
      </c>
      <c r="E55" s="33" t="s">
        <v>110</v>
      </c>
      <c r="F55" s="5" t="s">
        <v>16</v>
      </c>
      <c r="G55" s="34" t="n">
        <v>3</v>
      </c>
      <c r="H55" s="34" t="n">
        <v>3</v>
      </c>
      <c r="I55" s="35" t="n">
        <f aca="false">G55-H55</f>
        <v>0</v>
      </c>
      <c r="J55" s="8" t="n">
        <f aca="false">IF((H55+I55)=0,0,H55/(H55+I55))</f>
        <v>1</v>
      </c>
      <c r="K55" s="31" t="s">
        <v>97</v>
      </c>
      <c r="L55" s="9" t="s">
        <v>18</v>
      </c>
    </row>
    <row r="56" customFormat="false" ht="36" hidden="false" customHeight="true" outlineLevel="0" collapsed="false">
      <c r="A56" s="26" t="n">
        <v>55</v>
      </c>
      <c r="B56" s="27" t="s">
        <v>93</v>
      </c>
      <c r="C56" s="28" t="s">
        <v>106</v>
      </c>
      <c r="D56" s="28" t="s">
        <v>107</v>
      </c>
      <c r="E56" s="28" t="s">
        <v>111</v>
      </c>
      <c r="F56" s="13" t="s">
        <v>21</v>
      </c>
      <c r="G56" s="29" t="n">
        <v>2</v>
      </c>
      <c r="H56" s="29" t="n">
        <v>2</v>
      </c>
      <c r="I56" s="30" t="n">
        <f aca="false">G56-H56</f>
        <v>0</v>
      </c>
      <c r="J56" s="8" t="n">
        <f aca="false">IF((H56+I56)=0,0,H56/(H56+I56))</f>
        <v>1</v>
      </c>
      <c r="K56" s="26" t="s">
        <v>97</v>
      </c>
      <c r="L56" s="9" t="s">
        <v>18</v>
      </c>
    </row>
    <row r="57" customFormat="false" ht="36" hidden="false" customHeight="true" outlineLevel="0" collapsed="false">
      <c r="A57" s="31" t="n">
        <v>56</v>
      </c>
      <c r="B57" s="32" t="s">
        <v>93</v>
      </c>
      <c r="C57" s="33" t="s">
        <v>112</v>
      </c>
      <c r="D57" s="33" t="s">
        <v>113</v>
      </c>
      <c r="E57" s="33" t="s">
        <v>114</v>
      </c>
      <c r="F57" s="5" t="s">
        <v>16</v>
      </c>
      <c r="G57" s="34" t="n">
        <v>2</v>
      </c>
      <c r="H57" s="34" t="n">
        <v>2</v>
      </c>
      <c r="I57" s="35" t="n">
        <f aca="false">G57-H57</f>
        <v>0</v>
      </c>
      <c r="J57" s="8" t="n">
        <f aca="false">IF((H57+I57)=0,0,H57/(H57+I57))</f>
        <v>1</v>
      </c>
      <c r="K57" s="31" t="s">
        <v>97</v>
      </c>
      <c r="L57" s="9" t="s">
        <v>18</v>
      </c>
    </row>
    <row r="58" customFormat="false" ht="36" hidden="false" customHeight="true" outlineLevel="0" collapsed="false">
      <c r="A58" s="26" t="n">
        <v>57</v>
      </c>
      <c r="B58" s="27" t="s">
        <v>93</v>
      </c>
      <c r="C58" s="28" t="s">
        <v>112</v>
      </c>
      <c r="D58" s="28" t="s">
        <v>113</v>
      </c>
      <c r="E58" s="28" t="s">
        <v>115</v>
      </c>
      <c r="F58" s="5" t="s">
        <v>16</v>
      </c>
      <c r="G58" s="29" t="n">
        <v>3</v>
      </c>
      <c r="H58" s="29" t="n">
        <v>3</v>
      </c>
      <c r="I58" s="30" t="n">
        <f aca="false">G58-H58</f>
        <v>0</v>
      </c>
      <c r="J58" s="8" t="n">
        <f aca="false">IF((H58+I58)=0,0,H58/(H58+I58))</f>
        <v>1</v>
      </c>
      <c r="K58" s="26" t="s">
        <v>97</v>
      </c>
      <c r="L58" s="9" t="s">
        <v>18</v>
      </c>
    </row>
    <row r="59" customFormat="false" ht="36" hidden="false" customHeight="true" outlineLevel="0" collapsed="false">
      <c r="A59" s="31" t="n">
        <v>58</v>
      </c>
      <c r="B59" s="32" t="s">
        <v>93</v>
      </c>
      <c r="C59" s="33" t="s">
        <v>112</v>
      </c>
      <c r="D59" s="33" t="s">
        <v>113</v>
      </c>
      <c r="E59" s="33" t="s">
        <v>116</v>
      </c>
      <c r="F59" s="5" t="s">
        <v>16</v>
      </c>
      <c r="G59" s="34" t="n">
        <v>1</v>
      </c>
      <c r="H59" s="34" t="n">
        <v>1</v>
      </c>
      <c r="I59" s="35" t="n">
        <f aca="false">G59-H59</f>
        <v>0</v>
      </c>
      <c r="J59" s="8" t="n">
        <f aca="false">IF((H59+I59)=0,0,H59/(H59+I59))</f>
        <v>1</v>
      </c>
      <c r="K59" s="31" t="s">
        <v>97</v>
      </c>
      <c r="L59" s="9" t="s">
        <v>18</v>
      </c>
    </row>
    <row r="60" customFormat="false" ht="36" hidden="false" customHeight="true" outlineLevel="0" collapsed="false">
      <c r="A60" s="26" t="n">
        <v>59</v>
      </c>
      <c r="B60" s="27" t="s">
        <v>93</v>
      </c>
      <c r="C60" s="28" t="s">
        <v>112</v>
      </c>
      <c r="D60" s="28" t="s">
        <v>113</v>
      </c>
      <c r="E60" s="28" t="s">
        <v>117</v>
      </c>
      <c r="F60" s="5" t="s">
        <v>16</v>
      </c>
      <c r="G60" s="29" t="n">
        <v>1</v>
      </c>
      <c r="H60" s="29" t="n">
        <v>1</v>
      </c>
      <c r="I60" s="30" t="n">
        <f aca="false">G60-H60</f>
        <v>0</v>
      </c>
      <c r="J60" s="8" t="n">
        <f aca="false">IF((H60+I60)=0,0,H60/(H60+I60))</f>
        <v>1</v>
      </c>
      <c r="K60" s="26" t="s">
        <v>97</v>
      </c>
      <c r="L60" s="9" t="s">
        <v>18</v>
      </c>
    </row>
    <row r="61" customFormat="false" ht="36" hidden="false" customHeight="true" outlineLevel="0" collapsed="false">
      <c r="A61" s="31" t="n">
        <v>60</v>
      </c>
      <c r="B61" s="32" t="s">
        <v>93</v>
      </c>
      <c r="C61" s="33" t="s">
        <v>112</v>
      </c>
      <c r="D61" s="33" t="s">
        <v>113</v>
      </c>
      <c r="E61" s="33" t="s">
        <v>118</v>
      </c>
      <c r="F61" s="13" t="s">
        <v>21</v>
      </c>
      <c r="G61" s="34" t="n">
        <v>4</v>
      </c>
      <c r="H61" s="34" t="n">
        <v>4</v>
      </c>
      <c r="I61" s="35" t="n">
        <f aca="false">G61-H61</f>
        <v>0</v>
      </c>
      <c r="J61" s="8" t="n">
        <f aca="false">IF((H61+I61)=0,0,H61/(H61+I61))</f>
        <v>1</v>
      </c>
      <c r="K61" s="31" t="s">
        <v>97</v>
      </c>
      <c r="L61" s="9" t="s">
        <v>18</v>
      </c>
    </row>
    <row r="62" customFormat="false" ht="36" hidden="false" customHeight="true" outlineLevel="0" collapsed="false">
      <c r="A62" s="26" t="n">
        <v>61</v>
      </c>
      <c r="B62" s="27" t="s">
        <v>93</v>
      </c>
      <c r="C62" s="28" t="s">
        <v>119</v>
      </c>
      <c r="D62" s="28" t="s">
        <v>120</v>
      </c>
      <c r="E62" s="28" t="s">
        <v>121</v>
      </c>
      <c r="F62" s="5" t="s">
        <v>16</v>
      </c>
      <c r="G62" s="29" t="n">
        <v>4</v>
      </c>
      <c r="H62" s="29" t="n">
        <v>4</v>
      </c>
      <c r="I62" s="30" t="n">
        <f aca="false">G62-H62</f>
        <v>0</v>
      </c>
      <c r="J62" s="8" t="n">
        <f aca="false">IF((H62+I62)=0,0,H62/(H62+I62))</f>
        <v>1</v>
      </c>
      <c r="K62" s="26" t="s">
        <v>97</v>
      </c>
      <c r="L62" s="9" t="s">
        <v>18</v>
      </c>
    </row>
    <row r="63" customFormat="false" ht="36" hidden="false" customHeight="true" outlineLevel="0" collapsed="false">
      <c r="A63" s="31" t="n">
        <v>62</v>
      </c>
      <c r="B63" s="32" t="s">
        <v>93</v>
      </c>
      <c r="C63" s="33" t="s">
        <v>119</v>
      </c>
      <c r="D63" s="33" t="s">
        <v>120</v>
      </c>
      <c r="E63" s="33" t="s">
        <v>122</v>
      </c>
      <c r="F63" s="5" t="s">
        <v>16</v>
      </c>
      <c r="G63" s="34" t="n">
        <v>4</v>
      </c>
      <c r="H63" s="34" t="n">
        <v>4</v>
      </c>
      <c r="I63" s="35" t="n">
        <f aca="false">G63-H63</f>
        <v>0</v>
      </c>
      <c r="J63" s="8" t="n">
        <f aca="false">IF((H63+I63)=0,0,H63/(H63+I63))</f>
        <v>1</v>
      </c>
      <c r="K63" s="31" t="s">
        <v>97</v>
      </c>
      <c r="L63" s="9" t="s">
        <v>18</v>
      </c>
    </row>
    <row r="64" customFormat="false" ht="36" hidden="false" customHeight="true" outlineLevel="0" collapsed="false">
      <c r="A64" s="26" t="n">
        <v>63</v>
      </c>
      <c r="B64" s="27" t="s">
        <v>93</v>
      </c>
      <c r="C64" s="28" t="s">
        <v>119</v>
      </c>
      <c r="D64" s="28" t="s">
        <v>120</v>
      </c>
      <c r="E64" s="28" t="s">
        <v>123</v>
      </c>
      <c r="F64" s="5" t="s">
        <v>16</v>
      </c>
      <c r="G64" s="29" t="n">
        <v>3</v>
      </c>
      <c r="H64" s="29" t="n">
        <v>3</v>
      </c>
      <c r="I64" s="30" t="n">
        <f aca="false">G64-H64</f>
        <v>0</v>
      </c>
      <c r="J64" s="8" t="n">
        <f aca="false">IF((H64+I64)=0,0,H64/(H64+I64))</f>
        <v>1</v>
      </c>
      <c r="K64" s="26" t="s">
        <v>97</v>
      </c>
      <c r="L64" s="9" t="s">
        <v>18</v>
      </c>
    </row>
    <row r="65" customFormat="false" ht="36" hidden="false" customHeight="true" outlineLevel="0" collapsed="false">
      <c r="A65" s="31" t="n">
        <v>64</v>
      </c>
      <c r="B65" s="32" t="s">
        <v>93</v>
      </c>
      <c r="C65" s="33" t="s">
        <v>119</v>
      </c>
      <c r="D65" s="33" t="s">
        <v>120</v>
      </c>
      <c r="E65" s="33" t="s">
        <v>124</v>
      </c>
      <c r="F65" s="5" t="s">
        <v>16</v>
      </c>
      <c r="G65" s="34" t="n">
        <v>2</v>
      </c>
      <c r="H65" s="34" t="n">
        <v>2</v>
      </c>
      <c r="I65" s="35" t="n">
        <f aca="false">G65-H65</f>
        <v>0</v>
      </c>
      <c r="J65" s="8" t="n">
        <f aca="false">IF((H65+I65)=0,0,H65/(H65+I65))</f>
        <v>1</v>
      </c>
      <c r="K65" s="31" t="s">
        <v>97</v>
      </c>
      <c r="L65" s="9" t="s">
        <v>18</v>
      </c>
    </row>
    <row r="66" customFormat="false" ht="36" hidden="false" customHeight="true" outlineLevel="0" collapsed="false">
      <c r="A66" s="26" t="n">
        <v>65</v>
      </c>
      <c r="B66" s="27" t="s">
        <v>93</v>
      </c>
      <c r="C66" s="28" t="s">
        <v>125</v>
      </c>
      <c r="D66" s="28" t="s">
        <v>126</v>
      </c>
      <c r="E66" s="28" t="s">
        <v>127</v>
      </c>
      <c r="F66" s="5" t="s">
        <v>16</v>
      </c>
      <c r="G66" s="29" t="n">
        <v>2</v>
      </c>
      <c r="H66" s="29" t="n">
        <v>2</v>
      </c>
      <c r="I66" s="30" t="n">
        <f aca="false">G66-H66</f>
        <v>0</v>
      </c>
      <c r="J66" s="8" t="n">
        <f aca="false">IF((H66+I66)=0,0,H66/(H66+I66))</f>
        <v>1</v>
      </c>
      <c r="K66" s="26" t="s">
        <v>97</v>
      </c>
      <c r="L66" s="9" t="s">
        <v>18</v>
      </c>
    </row>
    <row r="67" customFormat="false" ht="36" hidden="false" customHeight="true" outlineLevel="0" collapsed="false">
      <c r="A67" s="31" t="n">
        <v>66</v>
      </c>
      <c r="B67" s="32" t="s">
        <v>93</v>
      </c>
      <c r="C67" s="33" t="s">
        <v>125</v>
      </c>
      <c r="D67" s="33" t="s">
        <v>126</v>
      </c>
      <c r="E67" s="33" t="s">
        <v>128</v>
      </c>
      <c r="F67" s="5" t="s">
        <v>16</v>
      </c>
      <c r="G67" s="34" t="n">
        <v>3</v>
      </c>
      <c r="H67" s="34" t="n">
        <v>3</v>
      </c>
      <c r="I67" s="35" t="n">
        <f aca="false">G67-H67</f>
        <v>0</v>
      </c>
      <c r="J67" s="8" t="n">
        <f aca="false">IF((H67+I67)=0,0,H67/(H67+I67))</f>
        <v>1</v>
      </c>
      <c r="K67" s="31" t="s">
        <v>97</v>
      </c>
      <c r="L67" s="9" t="s">
        <v>18</v>
      </c>
    </row>
    <row r="68" customFormat="false" ht="36" hidden="false" customHeight="true" outlineLevel="0" collapsed="false">
      <c r="A68" s="26" t="n">
        <v>67</v>
      </c>
      <c r="B68" s="27" t="s">
        <v>93</v>
      </c>
      <c r="C68" s="28" t="s">
        <v>129</v>
      </c>
      <c r="D68" s="28" t="s">
        <v>130</v>
      </c>
      <c r="E68" s="28" t="s">
        <v>131</v>
      </c>
      <c r="F68" s="5" t="s">
        <v>16</v>
      </c>
      <c r="G68" s="29" t="n">
        <v>2</v>
      </c>
      <c r="H68" s="29" t="n">
        <v>2</v>
      </c>
      <c r="I68" s="30" t="n">
        <f aca="false">G68-H68</f>
        <v>0</v>
      </c>
      <c r="J68" s="8" t="n">
        <f aca="false">IF((H68+I68)=0,0,H68/(H68+I68))</f>
        <v>1</v>
      </c>
      <c r="K68" s="26" t="s">
        <v>97</v>
      </c>
      <c r="L68" s="9" t="s">
        <v>18</v>
      </c>
    </row>
    <row r="69" customFormat="false" ht="36" hidden="false" customHeight="true" outlineLevel="0" collapsed="false">
      <c r="A69" s="31" t="n">
        <v>68</v>
      </c>
      <c r="B69" s="32" t="s">
        <v>93</v>
      </c>
      <c r="C69" s="33" t="s">
        <v>129</v>
      </c>
      <c r="D69" s="33" t="s">
        <v>130</v>
      </c>
      <c r="E69" s="33" t="s">
        <v>132</v>
      </c>
      <c r="F69" s="5" t="s">
        <v>16</v>
      </c>
      <c r="G69" s="34" t="n">
        <v>2</v>
      </c>
      <c r="H69" s="34" t="n">
        <v>2</v>
      </c>
      <c r="I69" s="35" t="n">
        <f aca="false">G69-H69</f>
        <v>0</v>
      </c>
      <c r="J69" s="8" t="n">
        <f aca="false">IF((H69+I69)=0,0,H69/(H69+I69))</f>
        <v>1</v>
      </c>
      <c r="K69" s="31" t="s">
        <v>97</v>
      </c>
      <c r="L69" s="9" t="s">
        <v>18</v>
      </c>
    </row>
    <row r="70" customFormat="false" ht="36" hidden="false" customHeight="true" outlineLevel="0" collapsed="false">
      <c r="A70" s="26" t="n">
        <v>69</v>
      </c>
      <c r="B70" s="27" t="s">
        <v>93</v>
      </c>
      <c r="C70" s="28" t="s">
        <v>129</v>
      </c>
      <c r="D70" s="28" t="s">
        <v>130</v>
      </c>
      <c r="E70" s="28" t="s">
        <v>133</v>
      </c>
      <c r="F70" s="5" t="s">
        <v>16</v>
      </c>
      <c r="G70" s="29" t="n">
        <v>1</v>
      </c>
      <c r="H70" s="29" t="n">
        <v>1</v>
      </c>
      <c r="I70" s="30" t="n">
        <f aca="false">G70-H70</f>
        <v>0</v>
      </c>
      <c r="J70" s="8" t="n">
        <f aca="false">IF((H70+I70)=0,0,H70/(H70+I70))</f>
        <v>1</v>
      </c>
      <c r="K70" s="26" t="s">
        <v>97</v>
      </c>
      <c r="L70" s="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30" hidden="false" customHeight="true" outlineLevel="0" collapsed="false">
      <c r="A1" s="36" t="s">
        <v>134</v>
      </c>
      <c r="B1" s="36"/>
      <c r="C1" s="36"/>
    </row>
    <row r="2" customFormat="false" ht="24" hidden="false" customHeight="true" outlineLevel="0" collapsed="false">
      <c r="A2" s="37" t="s">
        <v>135</v>
      </c>
      <c r="B2" s="37" t="s">
        <v>136</v>
      </c>
      <c r="C2" s="37" t="s">
        <v>137</v>
      </c>
    </row>
    <row r="3" customFormat="false" ht="24" hidden="false" customHeight="true" outlineLevel="0" collapsed="false">
      <c r="A3" s="38" t="s">
        <v>138</v>
      </c>
      <c r="B3" s="39" t="n">
        <f aca="false">SUM('liste des taches'!G2:G70)</f>
        <v>153</v>
      </c>
      <c r="C3" s="40" t="s">
        <v>139</v>
      </c>
    </row>
    <row r="4" customFormat="false" ht="24" hidden="false" customHeight="true" outlineLevel="0" collapsed="false">
      <c r="A4" s="38" t="s">
        <v>140</v>
      </c>
      <c r="B4" s="39" t="n">
        <f aca="false">SUM('liste des taches'!H2:H70)</f>
        <v>153</v>
      </c>
      <c r="C4" s="40" t="s">
        <v>141</v>
      </c>
    </row>
    <row r="5" customFormat="false" ht="24" hidden="false" customHeight="true" outlineLevel="0" collapsed="false">
      <c r="A5" s="38" t="s">
        <v>142</v>
      </c>
      <c r="B5" s="39" t="n">
        <f aca="false">SUM('liste des taches'!I2:I70)</f>
        <v>0</v>
      </c>
      <c r="C5" s="40" t="s">
        <v>143</v>
      </c>
    </row>
    <row r="6" customFormat="false" ht="24" hidden="false" customHeight="true" outlineLevel="0" collapsed="false">
      <c r="A6" s="38" t="s">
        <v>9</v>
      </c>
      <c r="B6" s="8" t="n">
        <f aca="false">B4/(B4+B5)</f>
        <v>1</v>
      </c>
      <c r="C6" s="40" t="s">
        <v>144</v>
      </c>
    </row>
    <row r="7" customFormat="false" ht="22.35" hidden="false" customHeight="false" outlineLevel="0" collapsed="false">
      <c r="A7" s="38" t="s">
        <v>145</v>
      </c>
      <c r="B7" s="41" t="n">
        <f aca="false">((B4+B5)-B3)/B3</f>
        <v>0</v>
      </c>
      <c r="C7" s="40" t="s">
        <v>146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8"/>
  </cols>
  <sheetData>
    <row r="1" customFormat="false" ht="25.5" hidden="false" customHeight="true" outlineLevel="0" collapsed="false">
      <c r="A1" s="42" t="s">
        <v>147</v>
      </c>
      <c r="B1" s="42"/>
    </row>
    <row r="2" customFormat="false" ht="15" hidden="false" customHeight="false" outlineLevel="0" collapsed="false">
      <c r="A2" s="37" t="s">
        <v>135</v>
      </c>
      <c r="B2" s="37" t="s">
        <v>136</v>
      </c>
    </row>
    <row r="3" customFormat="false" ht="21.75" hidden="false" customHeight="true" outlineLevel="0" collapsed="false">
      <c r="A3" s="38" t="s">
        <v>9</v>
      </c>
      <c r="B3" s="8" t="n">
        <f aca="false">'avancement projet'!B6</f>
        <v>1</v>
      </c>
    </row>
    <row r="4" customFormat="false" ht="21.75" hidden="false" customHeight="true" outlineLevel="0" collapsed="false">
      <c r="A4" s="38" t="s">
        <v>145</v>
      </c>
      <c r="B4" s="43" t="n">
        <f aca="false">'avancement projet'!B7</f>
        <v>0</v>
      </c>
    </row>
    <row r="6" customFormat="false" ht="25.5" hidden="false" customHeight="true" outlineLevel="0" collapsed="false">
      <c r="A6" s="42" t="s">
        <v>148</v>
      </c>
      <c r="B6" s="42"/>
      <c r="C6" s="42"/>
      <c r="D6" s="42"/>
    </row>
    <row r="7" customFormat="false" ht="21.75" hidden="false" customHeight="true" outlineLevel="0" collapsed="false">
      <c r="A7" s="37" t="s">
        <v>10</v>
      </c>
      <c r="B7" s="37" t="s">
        <v>149</v>
      </c>
      <c r="C7" s="37" t="s">
        <v>150</v>
      </c>
      <c r="D7" s="37" t="s">
        <v>9</v>
      </c>
    </row>
    <row r="8" customFormat="false" ht="21.75" hidden="false" customHeight="true" outlineLevel="0" collapsed="false">
      <c r="A8" s="2" t="s">
        <v>17</v>
      </c>
      <c r="B8" s="7" t="n">
        <f aca="false">SUMIF('liste des taches'!K2:K70,A8,'liste des taches'!G2:G70)</f>
        <v>52</v>
      </c>
      <c r="C8" s="7" t="n">
        <f aca="false">SUMIF('liste des taches'!K2:K70,A8,'liste des taches'!H2:H70)</f>
        <v>52</v>
      </c>
      <c r="D8" s="8" t="n">
        <f aca="false">IF(C8=0,0,C8/(C8+SUMIF('liste des taches'!K2:K70,A8,'liste des taches'!I2:I70)))</f>
        <v>1</v>
      </c>
    </row>
    <row r="9" customFormat="false" ht="21.75" hidden="false" customHeight="true" outlineLevel="0" collapsed="false">
      <c r="A9" s="16" t="s">
        <v>63</v>
      </c>
      <c r="B9" s="20" t="n">
        <f aca="false">SUMIF('liste des taches'!K2:K70,A9,'liste des taches'!G2:G70)</f>
        <v>45</v>
      </c>
      <c r="C9" s="20" t="n">
        <f aca="false">SUMIF('liste des taches'!K2:K70,A9,'liste des taches'!H2:H70)</f>
        <v>45</v>
      </c>
      <c r="D9" s="8" t="n">
        <f aca="false">IF(C9=0,0,C9/(C9+SUMIF('liste des taches'!K2:K70,A9,'liste des taches'!I2:I70)))</f>
        <v>1</v>
      </c>
    </row>
    <row r="10" customFormat="false" ht="21.75" hidden="false" customHeight="true" outlineLevel="0" collapsed="false">
      <c r="A10" s="26" t="s">
        <v>97</v>
      </c>
      <c r="B10" s="30" t="n">
        <f aca="false">SUMIF('liste des taches'!K2:K70,A10,'liste des taches'!G2:G70)</f>
        <v>56</v>
      </c>
      <c r="C10" s="30" t="n">
        <f aca="false">SUMIF('liste des taches'!K2:K70,A10,'liste des taches'!H2:H70)</f>
        <v>56</v>
      </c>
      <c r="D10" s="8" t="n">
        <f aca="false">IF(C10=0,0,C10/(C10+SUMIF('liste des taches'!K2:K70,A10,'liste des taches'!I2:I70)))</f>
        <v>1</v>
      </c>
    </row>
    <row r="11" customFormat="false" ht="21.75" hidden="false" customHeight="true" outlineLevel="0" collapsed="false">
      <c r="A11" s="1" t="s">
        <v>151</v>
      </c>
      <c r="B11" s="44" t="n">
        <f aca="false">SUM(B8:B10)</f>
        <v>153</v>
      </c>
      <c r="C11" s="44" t="n">
        <f aca="false">SUM(C8:C10)</f>
        <v>153</v>
      </c>
      <c r="D11" s="8" t="n">
        <f aca="false">IF(D8+D9+D10=0,0,(D8+D9+D10)/3)</f>
        <v>1</v>
      </c>
    </row>
  </sheetData>
  <mergeCells count="2">
    <mergeCell ref="A1:B1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2026-05-10T08:52:27Z</dcterms:created>
  <dc:creator>openpyxl</dc:creator>
  <dc:description/>
  <dc:language>en-US</dc:language>
  <cp:lastModifiedBy/>
  <dcterms:modified xsi:type="dcterms:W3CDTF">2026-05-10T08:52:27Z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